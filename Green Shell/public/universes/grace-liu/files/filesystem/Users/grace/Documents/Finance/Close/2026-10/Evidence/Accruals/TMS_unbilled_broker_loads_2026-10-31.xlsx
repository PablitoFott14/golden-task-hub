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ad Detail" sheetId="2" state="visible" r:id="rId2"/>
    <sheet name="By Broker" sheetId="3" state="visible" r:id="rId3"/>
    <sheet name="Aging" sheetId="4" state="visible" r:id="rId4"/>
    <sheet name="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m/dd/yyyy"/>
    <numFmt numFmtId="165" formatCode="0 &quot;loads&quot;"/>
    <numFmt numFmtId="166" formatCode="0.0%"/>
    <numFmt numFmtId="167" formatCode="mm/dd/yyyy hh:mm"/>
    <numFmt numFmtId="168" formatCode="yyyy-mm-dd"/>
    <numFmt numFmtId="169" formatCode="yyyy-mm-dd hh:mm:ss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b val="1"/>
      <sz val="12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164" fontId="0" fillId="0" borderId="0" pivotButton="0" quotePrefix="0" xfId="0"/>
    <xf numFmtId="3" fontId="0" fillId="0" borderId="0" pivotButton="0" quotePrefix="0" xfId="0"/>
    <xf numFmtId="39" fontId="0" fillId="0" borderId="0" pivotButton="0" quotePrefix="0" xfId="0"/>
    <xf numFmtId="1" fontId="0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39" fontId="2" fillId="0" borderId="0" pivotButton="0" quotePrefix="0" xfId="0"/>
    <xf numFmtId="166" fontId="0" fillId="0" borderId="0" pivotButton="0" quotePrefix="0" xfId="0"/>
    <xf numFmtId="166" fontId="2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168" fontId="5" fillId="0" borderId="0" pivotButton="0" quotePrefix="0" xfId="0"/>
    <xf numFmtId="169" fontId="5" fillId="0" borderId="0" pivotButton="0" quotePrefix="0" xfId="0"/>
    <xf numFmtId="0" fontId="5" fillId="2" borderId="0" applyAlignment="1" pivotButton="0" quotePrefix="0" xfId="0">
      <alignment vertical="center"/>
    </xf>
    <xf numFmtId="4" fontId="5" fillId="0" borderId="0" pivotButton="0" quotePrefix="0" xfId="0"/>
    <xf numFmtId="4" fontId="2" fillId="0" borderId="0" pivotButton="0" quotePrefix="0" xfId="0"/>
    <xf numFmtId="164" fontId="0" fillId="0" borderId="0" pivotButton="0" quotePrefix="0" xfId="0"/>
    <xf numFmtId="165" fontId="2" fillId="0" borderId="0" pivotButton="0" quotePrefix="0" xfId="0"/>
    <xf numFmtId="166" fontId="0" fillId="0" borderId="0" pivotButton="0" quotePrefix="0" xfId="0"/>
    <xf numFmtId="166" fontId="2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0" customWidth="1" min="3" max="3"/>
  </cols>
  <sheetData>
    <row r="1">
      <c r="A1" s="16" t="inlineStr">
        <is>
          <t>TMS Unbilled Broker Loads</t>
        </is>
      </c>
      <c r="B1" s="17" t="n"/>
      <c r="C1" s="17" t="n"/>
    </row>
    <row r="2">
      <c r="A2" s="17" t="n"/>
      <c r="B2" s="17" t="n"/>
      <c r="C2" s="17" t="n"/>
    </row>
    <row r="3">
      <c r="A3" s="17" t="inlineStr">
        <is>
          <t>Report</t>
        </is>
      </c>
      <c r="B3" s="17" t="str">
        <f>Parameters!B2</f>
        <v>Unbilled Broker Loads</v>
      </c>
      <c r="C3" s="17" t="n"/>
    </row>
    <row r="4">
      <c r="A4" s="17" t="inlineStr">
        <is>
          <t>Company</t>
        </is>
      </c>
      <c r="B4" s="17" t="str">
        <f>Parameters!B3</f>
        <v>Lakeshore Freight Logistics</v>
      </c>
      <c r="C4" s="17" t="n"/>
    </row>
    <row r="5">
      <c r="A5" s="17" t="inlineStr">
        <is>
          <t>Accrual period</t>
        </is>
      </c>
      <c r="B5" s="17" t="str">
        <f>Parameters!B5</f>
        <v>OCT-26</v>
      </c>
      <c r="C5" s="17" t="n"/>
    </row>
    <row r="6">
      <c r="A6" s="17" t="inlineStr">
        <is>
          <t>As-of date</t>
        </is>
      </c>
      <c r="B6" s="18">
        <f>Parameters!B7</f>
        <v>46326</v>
      </c>
      <c r="C6" s="17" t="n"/>
    </row>
    <row r="7">
      <c r="A7" s="17" t="inlineStr">
        <is>
          <t>Generated (CT)</t>
        </is>
      </c>
      <c r="B7" s="19">
        <f>Parameters!B8</f>
        <v>46325.57825231482</v>
      </c>
      <c r="C7" s="17" t="n"/>
    </row>
    <row r="8">
      <c r="A8" s="20" t="inlineStr">
        <is>
          <t>Generated by</t>
        </is>
      </c>
      <c r="B8" s="20" t="str">
        <f>Parameters!B10</f>
        <v>mkeane</v>
      </c>
      <c r="C8" s="20" t="n"/>
    </row>
    <row r="9">
      <c r="A9" s="17" t="n"/>
      <c r="B9" s="17" t="n"/>
      <c r="C9" s="17" t="n"/>
    </row>
    <row r="10">
      <c r="A10" s="2" t="inlineStr">
        <is>
          <t>Unbilled loads</t>
        </is>
      </c>
      <c r="B10" s="17">
        <f>COUNTA('Load Detail'!A2:A103)</f>
        <v>102</v>
      </c>
      <c r="C10" s="17" t="n"/>
    </row>
    <row r="11">
      <c r="A11" s="17" t="inlineStr">
        <is>
          <t>Linehaul</t>
        </is>
      </c>
      <c r="B11" s="21">
        <f>SUM('Load Detail'!I2:I103)</f>
        <v>154190</v>
      </c>
      <c r="C11" s="17" t="n"/>
    </row>
    <row r="12">
      <c r="A12" s="17" t="inlineStr">
        <is>
          <t>Fuel surcharge</t>
        </is>
      </c>
      <c r="B12" s="21">
        <f>SUM('Load Detail'!J2:J103)</f>
        <v>29480</v>
      </c>
      <c r="C12" s="17" t="n"/>
    </row>
    <row r="13">
      <c r="A13" s="17" t="inlineStr">
        <is>
          <t>Accessorials</t>
        </is>
      </c>
      <c r="B13" s="21">
        <f>SUM('Load Detail'!K2:K103)</f>
        <v>2750</v>
      </c>
      <c r="C13" s="17" t="n"/>
    </row>
    <row r="14">
      <c r="A14" s="2" t="inlineStr">
        <is>
          <t>Total unbilled cost</t>
        </is>
      </c>
      <c r="B14" s="22">
        <f>SUM(B11:B13)</f>
        <v>186420</v>
      </c>
      <c r="C14" s="17" t="n"/>
    </row>
    <row r="15">
      <c r="A15" s="17" t="n"/>
      <c r="B15" s="17" t="n"/>
      <c r="C15" s="17" t="n"/>
    </row>
    <row r="16">
      <c r="A16" s="17" t="inlineStr">
        <is>
          <t>GL debit</t>
        </is>
      </c>
      <c r="B16" s="17" t="str">
        <f>Parameters!B18</f>
        <v>5120-000 Purchased Transportation, Brokers</v>
      </c>
      <c r="C16" s="17" t="n"/>
    </row>
    <row r="17">
      <c r="A17" s="17" t="inlineStr">
        <is>
          <t>GL credit</t>
        </is>
      </c>
      <c r="B17" s="17" t="str">
        <f>Parameters!B19</f>
        <v>2150-000 Accrued Freight</v>
      </c>
      <c r="C17" s="17" t="n"/>
    </row>
    <row r="18">
      <c r="A18" s="17" t="inlineStr">
        <is>
          <t>Reversal</t>
        </is>
      </c>
      <c r="B18" s="17" t="str">
        <f>Parameters!B20</f>
        <v>Auto-reverses on day 1 of the next period (NOV-26)</v>
      </c>
      <c r="C18" s="17" t="n"/>
    </row>
    <row r="19">
      <c r="A19" s="17" t="n"/>
      <c r="B19" s="17" t="n"/>
      <c r="C19" s="17" t="n"/>
    </row>
    <row r="20">
      <c r="A20" s="17" t="inlineStr">
        <is>
          <t>Check: Load Detail total</t>
        </is>
      </c>
      <c r="B20" s="21">
        <f>B14-'Load Detail'!M105</f>
        <v>0</v>
      </c>
      <c r="C20" s="17" t="n"/>
    </row>
    <row r="21">
      <c r="A21" s="17" t="inlineStr">
        <is>
          <t>Check: By Broker total</t>
        </is>
      </c>
      <c r="B21" s="21">
        <f>B14-'By Broker'!G9</f>
        <v>0</v>
      </c>
      <c r="C21" s="17" t="n"/>
    </row>
    <row r="22">
      <c r="A22" s="17" t="inlineStr">
        <is>
          <t>Check: Aging total</t>
        </is>
      </c>
      <c r="B22" s="21">
        <f>B14-Aging!E6</f>
        <v>0</v>
      </c>
      <c r="C22" s="17" t="n"/>
    </row>
    <row r="23">
      <c r="A23" s="17" t="n"/>
      <c r="B23" s="17" t="n"/>
      <c r="C23" s="17" t="n"/>
    </row>
    <row r="24">
      <c r="A24" s="17" t="n"/>
      <c r="B24" s="17" t="n"/>
      <c r="C24" s="17" t="n"/>
    </row>
    <row r="25">
      <c r="A25" s="17" t="n"/>
      <c r="B25" s="17" t="n"/>
      <c r="C25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Load #</t>
        </is>
      </c>
      <c r="B1" s="2" t="inlineStr">
        <is>
          <t>Broker</t>
        </is>
      </c>
      <c r="C1" s="2" t="inlineStr">
        <is>
          <t>Origin</t>
        </is>
      </c>
      <c r="D1" s="2" t="inlineStr">
        <is>
          <t>Destination</t>
        </is>
      </c>
      <c r="E1" s="2" t="inlineStr">
        <is>
          <t>Equipment</t>
        </is>
      </c>
      <c r="F1" s="2" t="inlineStr">
        <is>
          <t>Pickup date</t>
        </is>
      </c>
      <c r="G1" s="2" t="inlineStr">
        <is>
          <t>Delivery date</t>
        </is>
      </c>
      <c r="H1" s="2" t="inlineStr">
        <is>
          <t>Miles</t>
        </is>
      </c>
      <c r="I1" s="2" t="inlineStr">
        <is>
          <t>Linehaul</t>
        </is>
      </c>
      <c r="J1" s="2" t="inlineStr">
        <is>
          <t>Fuel surcharge</t>
        </is>
      </c>
      <c r="K1" s="2" t="inlineStr">
        <is>
          <t>Accessorials</t>
        </is>
      </c>
      <c r="L1" s="2" t="inlineStr">
        <is>
          <t>Accessorial detail</t>
        </is>
      </c>
      <c r="M1" s="2" t="inlineStr">
        <is>
          <t>Total cost</t>
        </is>
      </c>
      <c r="N1" s="2" t="inlineStr">
        <is>
          <t>Days since delivery</t>
        </is>
      </c>
      <c r="O1" s="2" t="inlineStr">
        <is>
          <t>Aging bucket</t>
        </is>
      </c>
      <c r="P1" s="2" t="inlineStr">
        <is>
          <t>Freight bill status</t>
        </is>
      </c>
      <c r="Q1" s="2" t="inlineStr">
        <is>
          <t>Freight pay note</t>
        </is>
      </c>
    </row>
    <row r="2">
      <c r="A2" t="inlineStr">
        <is>
          <t>LFL-1046547</t>
        </is>
      </c>
      <c r="B2" t="inlineStr">
        <is>
          <t>Ironbridge Logistics Brokerage LLC</t>
        </is>
      </c>
      <c r="C2" t="inlineStr">
        <is>
          <t>Gary, IN</t>
        </is>
      </c>
      <c r="D2" t="inlineStr">
        <is>
          <t>Memphis, TN</t>
        </is>
      </c>
      <c r="E2" t="inlineStr">
        <is>
          <t>Power only</t>
        </is>
      </c>
      <c r="F2" s="23" t="n">
        <v>46296</v>
      </c>
      <c r="G2" s="23" t="n">
        <v>46297</v>
      </c>
      <c r="H2" s="5" t="n">
        <v>528</v>
      </c>
      <c r="I2" s="6" t="n">
        <v>1110</v>
      </c>
      <c r="J2" s="6" t="n">
        <v>238</v>
      </c>
      <c r="M2" s="6">
        <f>SUM(I2:K2)</f>
        <v>1348</v>
      </c>
      <c r="N2" s="7">
        <f>Parameters!$B$7-G2</f>
        <v>29</v>
      </c>
      <c r="O2" t="str">
        <f>IF(N2&lt;=7,"0-7 days",IF(N2&lt;=14,"8-14 days",IF(N2&lt;=30,"15-30 days","Over 30 days")))</f>
        <v>15-30 days</v>
      </c>
      <c r="P2" t="inlineStr">
        <is>
          <t>Monthly statement pending</t>
        </is>
      </c>
    </row>
    <row r="3">
      <c r="A3" t="inlineStr">
        <is>
          <t>LFL-1046604</t>
        </is>
      </c>
      <c r="B3" t="inlineStr">
        <is>
          <t>Ironbridge Logistics Brokerage LLC</t>
        </is>
      </c>
      <c r="C3" t="inlineStr">
        <is>
          <t>Gary, IN</t>
        </is>
      </c>
      <c r="D3" t="inlineStr">
        <is>
          <t>Dallas, TX</t>
        </is>
      </c>
      <c r="E3" t="inlineStr">
        <is>
          <t>Dry van 53 ft</t>
        </is>
      </c>
      <c r="F3" s="23" t="n">
        <v>46298</v>
      </c>
      <c r="G3" s="23" t="n">
        <v>46300</v>
      </c>
      <c r="H3" s="5" t="n">
        <v>932</v>
      </c>
      <c r="I3" s="6" t="n">
        <v>2095</v>
      </c>
      <c r="J3" s="6" t="n">
        <v>419</v>
      </c>
      <c r="M3" s="6">
        <f>SUM(I3:K3)</f>
        <v>2514</v>
      </c>
      <c r="N3" s="7">
        <f>Parameters!$B$7-G3</f>
        <v>26</v>
      </c>
      <c r="O3" t="str">
        <f>IF(N3&lt;=7,"0-7 days",IF(N3&lt;=14,"8-14 days",IF(N3&lt;=30,"15-30 days","Over 30 days")))</f>
        <v>15-30 days</v>
      </c>
      <c r="P3" t="inlineStr">
        <is>
          <t>Monthly statement pending</t>
        </is>
      </c>
    </row>
    <row r="4">
      <c r="A4" t="inlineStr">
        <is>
          <t>LFL-1046776</t>
        </is>
      </c>
      <c r="B4" t="inlineStr">
        <is>
          <t>Ironbridge Logistics Brokerage LLC</t>
        </is>
      </c>
      <c r="C4" t="inlineStr">
        <is>
          <t>Memphis, TN</t>
        </is>
      </c>
      <c r="D4" t="inlineStr">
        <is>
          <t>Gary, IN</t>
        </is>
      </c>
      <c r="E4" t="inlineStr">
        <is>
          <t>Power only</t>
        </is>
      </c>
      <c r="F4" s="23" t="n">
        <v>46301</v>
      </c>
      <c r="G4" s="23" t="n">
        <v>46302</v>
      </c>
      <c r="H4" s="5" t="n">
        <v>528</v>
      </c>
      <c r="I4" s="6" t="n">
        <v>1135</v>
      </c>
      <c r="J4" s="6" t="n">
        <v>238</v>
      </c>
      <c r="M4" s="6">
        <f>SUM(I4:K4)</f>
        <v>1373</v>
      </c>
      <c r="N4" s="7">
        <f>Parameters!$B$7-G4</f>
        <v>24</v>
      </c>
      <c r="O4" t="str">
        <f>IF(N4&lt;=7,"0-7 days",IF(N4&lt;=14,"8-14 days",IF(N4&lt;=30,"15-30 days","Over 30 days")))</f>
        <v>15-30 days</v>
      </c>
      <c r="P4" t="inlineStr">
        <is>
          <t>Monthly statement pending</t>
        </is>
      </c>
    </row>
    <row r="5">
      <c r="A5" t="inlineStr">
        <is>
          <t>LFL-1046791</t>
        </is>
      </c>
      <c r="B5" t="inlineStr">
        <is>
          <t>Ironbridge Logistics Brokerage LLC</t>
        </is>
      </c>
      <c r="C5" t="inlineStr">
        <is>
          <t>Gary, IN</t>
        </is>
      </c>
      <c r="D5" t="inlineStr">
        <is>
          <t>Houston, TX</t>
        </is>
      </c>
      <c r="E5" t="inlineStr">
        <is>
          <t>Dry van 53 ft</t>
        </is>
      </c>
      <c r="F5" s="23" t="n">
        <v>46302</v>
      </c>
      <c r="G5" s="23" t="n">
        <v>46304</v>
      </c>
      <c r="H5" s="5" t="n">
        <v>1061</v>
      </c>
      <c r="I5" s="6" t="n">
        <v>2130</v>
      </c>
      <c r="J5" s="6" t="n">
        <v>477</v>
      </c>
      <c r="K5" s="6" t="n">
        <v>100</v>
      </c>
      <c r="L5" t="inlineStr">
        <is>
          <t>Detention 2 hr</t>
        </is>
      </c>
      <c r="M5" s="6">
        <f>SUM(I5:K5)</f>
        <v>2707</v>
      </c>
      <c r="N5" s="7">
        <f>Parameters!$B$7-G5</f>
        <v>22</v>
      </c>
      <c r="O5" t="str">
        <f>IF(N5&lt;=7,"0-7 days",IF(N5&lt;=14,"8-14 days",IF(N5&lt;=30,"15-30 days","Over 30 days")))</f>
        <v>15-30 days</v>
      </c>
      <c r="P5" t="inlineStr">
        <is>
          <t>Monthly statement pending</t>
        </is>
      </c>
    </row>
    <row r="6">
      <c r="A6" t="inlineStr">
        <is>
          <t>LFL-1047051</t>
        </is>
      </c>
      <c r="B6" t="inlineStr">
        <is>
          <t>Ironbridge Logistics Brokerage LLC</t>
        </is>
      </c>
      <c r="C6" t="inlineStr">
        <is>
          <t>Gary, IN</t>
        </is>
      </c>
      <c r="D6" t="inlineStr">
        <is>
          <t>Memphis, TN</t>
        </is>
      </c>
      <c r="E6" t="inlineStr">
        <is>
          <t>Power only</t>
        </is>
      </c>
      <c r="F6" s="23" t="n">
        <v>46307</v>
      </c>
      <c r="G6" s="23" t="n">
        <v>46308</v>
      </c>
      <c r="H6" s="5" t="n">
        <v>528</v>
      </c>
      <c r="I6" s="6" t="n">
        <v>1130</v>
      </c>
      <c r="J6" s="6" t="n">
        <v>238</v>
      </c>
      <c r="M6" s="6">
        <f>SUM(I6:K6)</f>
        <v>1368</v>
      </c>
      <c r="N6" s="7">
        <f>Parameters!$B$7-G6</f>
        <v>18</v>
      </c>
      <c r="O6" t="str">
        <f>IF(N6&lt;=7,"0-7 days",IF(N6&lt;=14,"8-14 days",IF(N6&lt;=30,"15-30 days","Over 30 days")))</f>
        <v>15-30 days</v>
      </c>
      <c r="P6" t="inlineStr">
        <is>
          <t>Monthly statement pending</t>
        </is>
      </c>
    </row>
    <row r="7">
      <c r="A7" t="inlineStr">
        <is>
          <t>LFL-1047147</t>
        </is>
      </c>
      <c r="B7" t="inlineStr">
        <is>
          <t>Ironbridge Logistics Brokerage LLC</t>
        </is>
      </c>
      <c r="C7" t="inlineStr">
        <is>
          <t>Memphis, TN</t>
        </is>
      </c>
      <c r="D7" t="inlineStr">
        <is>
          <t>Columbus, OH</t>
        </is>
      </c>
      <c r="E7" t="inlineStr">
        <is>
          <t>Dry van 53 ft</t>
        </is>
      </c>
      <c r="F7" s="23" t="n">
        <v>46309</v>
      </c>
      <c r="G7" s="23" t="n">
        <v>46310</v>
      </c>
      <c r="H7" s="5" t="n">
        <v>585</v>
      </c>
      <c r="I7" s="6" t="n">
        <v>1435</v>
      </c>
      <c r="J7" s="6" t="n">
        <v>263</v>
      </c>
      <c r="M7" s="6">
        <f>SUM(I7:K7)</f>
        <v>1698</v>
      </c>
      <c r="N7" s="7">
        <f>Parameters!$B$7-G7</f>
        <v>16</v>
      </c>
      <c r="O7" t="str">
        <f>IF(N7&lt;=7,"0-7 days",IF(N7&lt;=14,"8-14 days",IF(N7&lt;=30,"15-30 days","Over 30 days")))</f>
        <v>15-30 days</v>
      </c>
      <c r="P7" t="inlineStr">
        <is>
          <t>Monthly statement pending</t>
        </is>
      </c>
    </row>
    <row r="8">
      <c r="A8" t="inlineStr">
        <is>
          <t>LFL-1047143</t>
        </is>
      </c>
      <c r="B8" t="inlineStr">
        <is>
          <t>Ironbridge Logistics Brokerage LLC</t>
        </is>
      </c>
      <c r="C8" t="inlineStr">
        <is>
          <t>Gary, IN</t>
        </is>
      </c>
      <c r="D8" t="inlineStr">
        <is>
          <t>Dallas, TX</t>
        </is>
      </c>
      <c r="E8" t="inlineStr">
        <is>
          <t>Dry van 53 ft</t>
        </is>
      </c>
      <c r="F8" s="23" t="n">
        <v>46309</v>
      </c>
      <c r="G8" s="23" t="n">
        <v>46311</v>
      </c>
      <c r="H8" s="5" t="n">
        <v>932</v>
      </c>
      <c r="I8" s="6" t="n">
        <v>2025</v>
      </c>
      <c r="J8" s="6" t="n">
        <v>419</v>
      </c>
      <c r="M8" s="6">
        <f>SUM(I8:K8)</f>
        <v>2444</v>
      </c>
      <c r="N8" s="7">
        <f>Parameters!$B$7-G8</f>
        <v>15</v>
      </c>
      <c r="O8" t="str">
        <f>IF(N8&lt;=7,"0-7 days",IF(N8&lt;=14,"8-14 days",IF(N8&lt;=30,"15-30 days","Over 30 days")))</f>
        <v>15-30 days</v>
      </c>
      <c r="P8" t="inlineStr">
        <is>
          <t>Monthly statement pending</t>
        </is>
      </c>
    </row>
    <row r="9">
      <c r="A9" t="inlineStr">
        <is>
          <t>LFL-1047257</t>
        </is>
      </c>
      <c r="B9" t="inlineStr">
        <is>
          <t>Ironbridge Logistics Brokerage LLC</t>
        </is>
      </c>
      <c r="C9" t="inlineStr">
        <is>
          <t>Gary, IN</t>
        </is>
      </c>
      <c r="D9" t="inlineStr">
        <is>
          <t>Atlanta, GA</t>
        </is>
      </c>
      <c r="E9" t="inlineStr">
        <is>
          <t>Dry van 53 ft</t>
        </is>
      </c>
      <c r="F9" s="23" t="n">
        <v>46312</v>
      </c>
      <c r="G9" s="23" t="n">
        <v>46314</v>
      </c>
      <c r="H9" s="5" t="n">
        <v>688</v>
      </c>
      <c r="I9" s="6" t="n">
        <v>1650</v>
      </c>
      <c r="J9" s="6" t="n">
        <v>310</v>
      </c>
      <c r="M9" s="6">
        <f>SUM(I9:K9)</f>
        <v>1960</v>
      </c>
      <c r="N9" s="7">
        <f>Parameters!$B$7-G9</f>
        <v>12</v>
      </c>
      <c r="O9" t="str">
        <f>IF(N9&lt;=7,"0-7 days",IF(N9&lt;=14,"8-14 days",IF(N9&lt;=30,"15-30 days","Over 30 days")))</f>
        <v>8-14 days</v>
      </c>
      <c r="P9" t="inlineStr">
        <is>
          <t>Monthly statement pending</t>
        </is>
      </c>
    </row>
    <row r="10">
      <c r="A10" t="inlineStr">
        <is>
          <t>LFL-1047391</t>
        </is>
      </c>
      <c r="B10" t="inlineStr">
        <is>
          <t>Ironbridge Logistics Brokerage LLC</t>
        </is>
      </c>
      <c r="C10" t="inlineStr">
        <is>
          <t>Memphis, TN</t>
        </is>
      </c>
      <c r="D10" t="inlineStr">
        <is>
          <t>Gary, IN</t>
        </is>
      </c>
      <c r="E10" t="inlineStr">
        <is>
          <t>Power only</t>
        </is>
      </c>
      <c r="F10" s="23" t="n">
        <v>46315</v>
      </c>
      <c r="G10" s="23" t="n">
        <v>46316</v>
      </c>
      <c r="H10" s="5" t="n">
        <v>528</v>
      </c>
      <c r="I10" s="6" t="n">
        <v>1090</v>
      </c>
      <c r="J10" s="6" t="n">
        <v>238</v>
      </c>
      <c r="M10" s="6">
        <f>SUM(I10:K10)</f>
        <v>1328</v>
      </c>
      <c r="N10" s="7">
        <f>Parameters!$B$7-G10</f>
        <v>10</v>
      </c>
      <c r="O10" t="str">
        <f>IF(N10&lt;=7,"0-7 days",IF(N10&lt;=14,"8-14 days",IF(N10&lt;=30,"15-30 days","Over 30 days")))</f>
        <v>8-14 days</v>
      </c>
      <c r="P10" t="inlineStr">
        <is>
          <t>Monthly statement pending</t>
        </is>
      </c>
    </row>
    <row r="11">
      <c r="A11" t="inlineStr">
        <is>
          <t>LFL-1047455</t>
        </is>
      </c>
      <c r="B11" t="inlineStr">
        <is>
          <t>Ironbridge Logistics Brokerage LLC</t>
        </is>
      </c>
      <c r="C11" t="inlineStr">
        <is>
          <t>Gary, IN</t>
        </is>
      </c>
      <c r="D11" t="inlineStr">
        <is>
          <t>Dallas, TX</t>
        </is>
      </c>
      <c r="E11" t="inlineStr">
        <is>
          <t>Dry van 53 ft</t>
        </is>
      </c>
      <c r="F11" s="23" t="n">
        <v>46316</v>
      </c>
      <c r="G11" s="23" t="n">
        <v>46318</v>
      </c>
      <c r="H11" s="5" t="n">
        <v>932</v>
      </c>
      <c r="I11" s="6" t="n">
        <v>2060</v>
      </c>
      <c r="J11" s="6" t="n">
        <v>419</v>
      </c>
      <c r="K11" s="6" t="n">
        <v>240</v>
      </c>
      <c r="L11" t="inlineStr">
        <is>
          <t>Lumper</t>
        </is>
      </c>
      <c r="M11" s="6">
        <f>SUM(I11:K11)</f>
        <v>2719</v>
      </c>
      <c r="N11" s="7">
        <f>Parameters!$B$7-G11</f>
        <v>8</v>
      </c>
      <c r="O11" t="str">
        <f>IF(N11&lt;=7,"0-7 days",IF(N11&lt;=14,"8-14 days",IF(N11&lt;=30,"15-30 days","Over 30 days")))</f>
        <v>8-14 days</v>
      </c>
      <c r="P11" t="inlineStr">
        <is>
          <t>Monthly statement pending</t>
        </is>
      </c>
    </row>
    <row r="12">
      <c r="A12" t="inlineStr">
        <is>
          <t>LFL-1047603</t>
        </is>
      </c>
      <c r="B12" t="inlineStr">
        <is>
          <t>Ironbridge Logistics Brokerage LLC</t>
        </is>
      </c>
      <c r="C12" t="inlineStr">
        <is>
          <t>Gary, IN</t>
        </is>
      </c>
      <c r="D12" t="inlineStr">
        <is>
          <t>Houston, TX</t>
        </is>
      </c>
      <c r="E12" t="inlineStr">
        <is>
          <t>Dry van 53 ft</t>
        </is>
      </c>
      <c r="F12" s="23" t="n">
        <v>46319</v>
      </c>
      <c r="G12" s="23" t="n">
        <v>46321</v>
      </c>
      <c r="H12" s="5" t="n">
        <v>1061</v>
      </c>
      <c r="I12" s="6" t="n">
        <v>2190</v>
      </c>
      <c r="J12" s="6" t="n">
        <v>477</v>
      </c>
      <c r="M12" s="6">
        <f>SUM(I12:K12)</f>
        <v>2667</v>
      </c>
      <c r="N12" s="7">
        <f>Parameters!$B$7-G12</f>
        <v>5</v>
      </c>
      <c r="O12" t="str">
        <f>IF(N12&lt;=7,"0-7 days",IF(N12&lt;=14,"8-14 days",IF(N12&lt;=30,"15-30 days","Over 30 days")))</f>
        <v>0-7 days</v>
      </c>
      <c r="P12" t="inlineStr">
        <is>
          <t>Monthly statement pending</t>
        </is>
      </c>
    </row>
    <row r="13">
      <c r="A13" t="inlineStr">
        <is>
          <t>LFL-1047705</t>
        </is>
      </c>
      <c r="B13" t="inlineStr">
        <is>
          <t>Ironbridge Logistics Brokerage LLC</t>
        </is>
      </c>
      <c r="C13" t="inlineStr">
        <is>
          <t>Gary, IN</t>
        </is>
      </c>
      <c r="D13" t="inlineStr">
        <is>
          <t>Memphis, TN</t>
        </is>
      </c>
      <c r="E13" t="inlineStr">
        <is>
          <t>Power only</t>
        </is>
      </c>
      <c r="F13" s="23" t="n">
        <v>46322</v>
      </c>
      <c r="G13" s="23" t="n">
        <v>46323</v>
      </c>
      <c r="H13" s="5" t="n">
        <v>528</v>
      </c>
      <c r="I13" s="6" t="n">
        <v>1145</v>
      </c>
      <c r="J13" s="6" t="n">
        <v>238</v>
      </c>
      <c r="M13" s="6">
        <f>SUM(I13:K13)</f>
        <v>1383</v>
      </c>
      <c r="N13" s="7">
        <f>Parameters!$B$7-G13</f>
        <v>3</v>
      </c>
      <c r="O13" t="str">
        <f>IF(N13&lt;=7,"0-7 days",IF(N13&lt;=14,"8-14 days",IF(N13&lt;=30,"15-30 days","Over 30 days")))</f>
        <v>0-7 days</v>
      </c>
      <c r="P13" t="inlineStr">
        <is>
          <t>Monthly statement pending</t>
        </is>
      </c>
    </row>
    <row r="14">
      <c r="A14" t="inlineStr">
        <is>
          <t>LFL-1047763</t>
        </is>
      </c>
      <c r="B14" t="inlineStr">
        <is>
          <t>Ironbridge Logistics Brokerage LLC</t>
        </is>
      </c>
      <c r="C14" t="inlineStr">
        <is>
          <t>Memphis, TN</t>
        </is>
      </c>
      <c r="D14" t="inlineStr">
        <is>
          <t>Gary, IN</t>
        </is>
      </c>
      <c r="E14" t="inlineStr">
        <is>
          <t>Power only</t>
        </is>
      </c>
      <c r="F14" s="23" t="n">
        <v>46323</v>
      </c>
      <c r="G14" s="23" t="n">
        <v>46324</v>
      </c>
      <c r="H14" s="5" t="n">
        <v>528</v>
      </c>
      <c r="I14" s="6" t="n">
        <v>1080</v>
      </c>
      <c r="J14" s="6" t="n">
        <v>238</v>
      </c>
      <c r="M14" s="6">
        <f>SUM(I14:K14)</f>
        <v>1318</v>
      </c>
      <c r="N14" s="7">
        <f>Parameters!$B$7-G14</f>
        <v>2</v>
      </c>
      <c r="O14" t="str">
        <f>IF(N14&lt;=7,"0-7 days",IF(N14&lt;=14,"8-14 days",IF(N14&lt;=30,"15-30 days","Over 30 days")))</f>
        <v>0-7 days</v>
      </c>
      <c r="P14" t="inlineStr">
        <is>
          <t>Monthly statement pending</t>
        </is>
      </c>
    </row>
    <row r="15">
      <c r="A15" t="inlineStr">
        <is>
          <t>LFL-1046117</t>
        </is>
      </c>
      <c r="B15" t="inlineStr">
        <is>
          <t>Copperline Freight Brokerage Inc.</t>
        </is>
      </c>
      <c r="C15" t="inlineStr">
        <is>
          <t>Gary, IN</t>
        </is>
      </c>
      <c r="D15" t="inlineStr">
        <is>
          <t>Harrisburg, PA</t>
        </is>
      </c>
      <c r="E15" t="inlineStr">
        <is>
          <t>Dry van 53 ft</t>
        </is>
      </c>
      <c r="F15" s="23" t="n">
        <v>46287</v>
      </c>
      <c r="G15" s="23" t="n">
        <v>46289</v>
      </c>
      <c r="H15" s="5" t="n">
        <v>668</v>
      </c>
      <c r="I15" s="6" t="n">
        <v>1605</v>
      </c>
      <c r="J15" s="6" t="n">
        <v>307</v>
      </c>
      <c r="M15" s="6">
        <f>SUM(I15:K15)</f>
        <v>1912</v>
      </c>
      <c r="N15" s="7">
        <f>Parameters!$B$7-G15</f>
        <v>37</v>
      </c>
      <c r="O15" t="str">
        <f>IF(N15&lt;=7,"0-7 days",IF(N15&lt;=14,"8-14 days",IF(N15&lt;=30,"15-30 days","Over 30 days")))</f>
        <v>Over 30 days</v>
      </c>
      <c r="P15" t="inlineStr">
        <is>
          <t>Received, on hold</t>
        </is>
      </c>
      <c r="Q15" t="inlineStr">
        <is>
          <t>Broker invoice adds a $250.00 layover that is not on the rate confirmation. Accrued at rate confirmation.</t>
        </is>
      </c>
    </row>
    <row r="16">
      <c r="A16" t="inlineStr">
        <is>
          <t>LFL-1047063</t>
        </is>
      </c>
      <c r="B16" t="inlineStr">
        <is>
          <t>Copperline Freight Brokerage Inc.</t>
        </is>
      </c>
      <c r="C16" t="inlineStr">
        <is>
          <t>Joliet, IL</t>
        </is>
      </c>
      <c r="D16" t="inlineStr">
        <is>
          <t>Allentown, PA</t>
        </is>
      </c>
      <c r="E16" t="inlineStr">
        <is>
          <t>Dry van 53 ft</t>
        </is>
      </c>
      <c r="F16" s="23" t="n">
        <v>46308</v>
      </c>
      <c r="G16" s="23" t="n">
        <v>46310</v>
      </c>
      <c r="H16" s="5" t="n">
        <v>772</v>
      </c>
      <c r="I16" s="6" t="n">
        <v>1750</v>
      </c>
      <c r="J16" s="6" t="n">
        <v>355</v>
      </c>
      <c r="M16" s="6">
        <f>SUM(I16:K16)</f>
        <v>2105</v>
      </c>
      <c r="N16" s="7">
        <f>Parameters!$B$7-G16</f>
        <v>16</v>
      </c>
      <c r="O16" t="str">
        <f>IF(N16&lt;=7,"0-7 days",IF(N16&lt;=14,"8-14 days",IF(N16&lt;=30,"15-30 days","Over 30 days")))</f>
        <v>15-30 days</v>
      </c>
      <c r="P16" t="inlineStr">
        <is>
          <t>Not received</t>
        </is>
      </c>
    </row>
    <row r="17">
      <c r="A17" t="inlineStr">
        <is>
          <t>LFL-1047150</t>
        </is>
      </c>
      <c r="B17" t="inlineStr">
        <is>
          <t>Copperline Freight Brokerage Inc.</t>
        </is>
      </c>
      <c r="C17" t="inlineStr">
        <is>
          <t>Gary, IN</t>
        </is>
      </c>
      <c r="D17" t="inlineStr">
        <is>
          <t>Pittsburgh, PA</t>
        </is>
      </c>
      <c r="E17" t="inlineStr">
        <is>
          <t>Dry van 53 ft</t>
        </is>
      </c>
      <c r="F17" s="23" t="n">
        <v>46310</v>
      </c>
      <c r="G17" s="23" t="n">
        <v>46311</v>
      </c>
      <c r="H17" s="5" t="n">
        <v>437</v>
      </c>
      <c r="I17" s="6" t="n">
        <v>1260</v>
      </c>
      <c r="J17" s="6" t="n">
        <v>201</v>
      </c>
      <c r="K17" s="6" t="n">
        <v>100</v>
      </c>
      <c r="L17" t="inlineStr">
        <is>
          <t>Detention 2 hr</t>
        </is>
      </c>
      <c r="M17" s="6">
        <f>SUM(I17:K17)</f>
        <v>1561</v>
      </c>
      <c r="N17" s="7">
        <f>Parameters!$B$7-G17</f>
        <v>15</v>
      </c>
      <c r="O17" t="str">
        <f>IF(N17&lt;=7,"0-7 days",IF(N17&lt;=14,"8-14 days",IF(N17&lt;=30,"15-30 days","Over 30 days")))</f>
        <v>15-30 days</v>
      </c>
      <c r="P17" t="inlineStr">
        <is>
          <t>Not received</t>
        </is>
      </c>
    </row>
    <row r="18">
      <c r="A18" t="inlineStr">
        <is>
          <t>LFL-1047198</t>
        </is>
      </c>
      <c r="B18" t="inlineStr">
        <is>
          <t>Copperline Freight Brokerage Inc.</t>
        </is>
      </c>
      <c r="C18" t="inlineStr">
        <is>
          <t>Gary, IN</t>
        </is>
      </c>
      <c r="D18" t="inlineStr">
        <is>
          <t>Cleveland, OH</t>
        </is>
      </c>
      <c r="E18" t="inlineStr">
        <is>
          <t>Dry van 53 ft</t>
        </is>
      </c>
      <c r="F18" s="23" t="n">
        <v>46311</v>
      </c>
      <c r="G18" s="23" t="n">
        <v>46314</v>
      </c>
      <c r="H18" s="5" t="n">
        <v>318</v>
      </c>
      <c r="I18" s="6" t="n">
        <v>915</v>
      </c>
      <c r="J18" s="6" t="n">
        <v>146</v>
      </c>
      <c r="M18" s="6">
        <f>SUM(I18:K18)</f>
        <v>1061</v>
      </c>
      <c r="N18" s="7">
        <f>Parameters!$B$7-G18</f>
        <v>12</v>
      </c>
      <c r="O18" t="str">
        <f>IF(N18&lt;=7,"0-7 days",IF(N18&lt;=14,"8-14 days",IF(N18&lt;=30,"15-30 days","Over 30 days")))</f>
        <v>8-14 days</v>
      </c>
      <c r="P18" t="inlineStr">
        <is>
          <t>Not received</t>
        </is>
      </c>
    </row>
    <row r="19">
      <c r="A19" t="inlineStr">
        <is>
          <t>LFL-1047287</t>
        </is>
      </c>
      <c r="B19" t="inlineStr">
        <is>
          <t>Copperline Freight Brokerage Inc.</t>
        </is>
      </c>
      <c r="C19" t="inlineStr">
        <is>
          <t>Bolingbrook, IL</t>
        </is>
      </c>
      <c r="D19" t="inlineStr">
        <is>
          <t>Charlotte, NC</t>
        </is>
      </c>
      <c r="E19" t="inlineStr">
        <is>
          <t>Dry van 53 ft</t>
        </is>
      </c>
      <c r="F19" s="23" t="n">
        <v>46312</v>
      </c>
      <c r="G19" s="23" t="n">
        <v>46314</v>
      </c>
      <c r="H19" s="5" t="n">
        <v>783</v>
      </c>
      <c r="I19" s="6" t="n">
        <v>1745</v>
      </c>
      <c r="J19" s="6" t="n">
        <v>360</v>
      </c>
      <c r="M19" s="6">
        <f>SUM(I19:K19)</f>
        <v>2105</v>
      </c>
      <c r="N19" s="7">
        <f>Parameters!$B$7-G19</f>
        <v>12</v>
      </c>
      <c r="O19" t="str">
        <f>IF(N19&lt;=7,"0-7 days",IF(N19&lt;=14,"8-14 days",IF(N19&lt;=30,"15-30 days","Over 30 days")))</f>
        <v>8-14 days</v>
      </c>
      <c r="P19" t="inlineStr">
        <is>
          <t>Not received</t>
        </is>
      </c>
    </row>
    <row r="20">
      <c r="A20" t="inlineStr">
        <is>
          <t>LFL-1047358</t>
        </is>
      </c>
      <c r="B20" t="inlineStr">
        <is>
          <t>Copperline Freight Brokerage Inc.</t>
        </is>
      </c>
      <c r="C20" t="inlineStr">
        <is>
          <t>Elk Grove Village, IL</t>
        </is>
      </c>
      <c r="D20" t="inlineStr">
        <is>
          <t>Buffalo, NY</t>
        </is>
      </c>
      <c r="E20" t="inlineStr">
        <is>
          <t>Dry van 53 ft</t>
        </is>
      </c>
      <c r="F20" s="23" t="n">
        <v>46314</v>
      </c>
      <c r="G20" s="23" t="n">
        <v>46315</v>
      </c>
      <c r="H20" s="5" t="n">
        <v>563</v>
      </c>
      <c r="I20" s="6" t="n">
        <v>1355</v>
      </c>
      <c r="J20" s="6" t="n">
        <v>259</v>
      </c>
      <c r="M20" s="6">
        <f>SUM(I20:K20)</f>
        <v>1614</v>
      </c>
      <c r="N20" s="7">
        <f>Parameters!$B$7-G20</f>
        <v>11</v>
      </c>
      <c r="O20" t="str">
        <f>IF(N20&lt;=7,"0-7 days",IF(N20&lt;=14,"8-14 days",IF(N20&lt;=30,"15-30 days","Over 30 days")))</f>
        <v>8-14 days</v>
      </c>
      <c r="P20" t="inlineStr">
        <is>
          <t>Not received</t>
        </is>
      </c>
    </row>
    <row r="21">
      <c r="A21" t="inlineStr">
        <is>
          <t>LFL-1047365</t>
        </is>
      </c>
      <c r="B21" t="inlineStr">
        <is>
          <t>Copperline Freight Brokerage Inc.</t>
        </is>
      </c>
      <c r="C21" t="inlineStr">
        <is>
          <t>Gary, IN</t>
        </is>
      </c>
      <c r="D21" t="inlineStr">
        <is>
          <t>Columbus, OH</t>
        </is>
      </c>
      <c r="E21" t="inlineStr">
        <is>
          <t>Dry van 53 ft</t>
        </is>
      </c>
      <c r="F21" s="23" t="n">
        <v>46314</v>
      </c>
      <c r="G21" s="23" t="n">
        <v>46315</v>
      </c>
      <c r="H21" s="5" t="n">
        <v>331</v>
      </c>
      <c r="I21" s="6" t="n">
        <v>920</v>
      </c>
      <c r="J21" s="6" t="n">
        <v>152</v>
      </c>
      <c r="M21" s="6">
        <f>SUM(I21:K21)</f>
        <v>1072</v>
      </c>
      <c r="N21" s="7">
        <f>Parameters!$B$7-G21</f>
        <v>11</v>
      </c>
      <c r="O21" t="str">
        <f>IF(N21&lt;=7,"0-7 days",IF(N21&lt;=14,"8-14 days",IF(N21&lt;=30,"15-30 days","Over 30 days")))</f>
        <v>8-14 days</v>
      </c>
      <c r="P21" t="inlineStr">
        <is>
          <t>Not received</t>
        </is>
      </c>
    </row>
    <row r="22">
      <c r="A22" t="inlineStr">
        <is>
          <t>LFL-1047356</t>
        </is>
      </c>
      <c r="B22" t="inlineStr">
        <is>
          <t>Copperline Freight Brokerage Inc.</t>
        </is>
      </c>
      <c r="C22" t="inlineStr">
        <is>
          <t>Gary, IN</t>
        </is>
      </c>
      <c r="D22" t="inlineStr">
        <is>
          <t>Edison, NJ</t>
        </is>
      </c>
      <c r="E22" t="inlineStr">
        <is>
          <t>Dry van 53 ft</t>
        </is>
      </c>
      <c r="F22" s="23" t="n">
        <v>46314</v>
      </c>
      <c r="G22" s="23" t="n">
        <v>46316</v>
      </c>
      <c r="H22" s="5" t="n">
        <v>791</v>
      </c>
      <c r="I22" s="6" t="n">
        <v>1830</v>
      </c>
      <c r="J22" s="6" t="n">
        <v>364</v>
      </c>
      <c r="K22" s="6" t="n">
        <v>275</v>
      </c>
      <c r="L22" t="inlineStr">
        <is>
          <t>Lumper</t>
        </is>
      </c>
      <c r="M22" s="6">
        <f>SUM(I22:K22)</f>
        <v>2469</v>
      </c>
      <c r="N22" s="7">
        <f>Parameters!$B$7-G22</f>
        <v>10</v>
      </c>
      <c r="O22" t="str">
        <f>IF(N22&lt;=7,"0-7 days",IF(N22&lt;=14,"8-14 days",IF(N22&lt;=30,"15-30 days","Over 30 days")))</f>
        <v>8-14 days</v>
      </c>
      <c r="P22" t="inlineStr">
        <is>
          <t>Not received</t>
        </is>
      </c>
    </row>
    <row r="23">
      <c r="A23" t="inlineStr">
        <is>
          <t>LFL-1047381</t>
        </is>
      </c>
      <c r="B23" t="inlineStr">
        <is>
          <t>Copperline Freight Brokerage Inc.</t>
        </is>
      </c>
      <c r="C23" t="inlineStr">
        <is>
          <t>Gary, IN</t>
        </is>
      </c>
      <c r="D23" t="inlineStr">
        <is>
          <t>Baltimore, MD</t>
        </is>
      </c>
      <c r="E23" t="inlineStr">
        <is>
          <t>Dry van 53 ft</t>
        </is>
      </c>
      <c r="F23" s="23" t="n">
        <v>46315</v>
      </c>
      <c r="G23" s="23" t="n">
        <v>46317</v>
      </c>
      <c r="H23" s="5" t="n">
        <v>683</v>
      </c>
      <c r="I23" s="6" t="n">
        <v>1665</v>
      </c>
      <c r="J23" s="6" t="n">
        <v>314</v>
      </c>
      <c r="M23" s="6">
        <f>SUM(I23:K23)</f>
        <v>1979</v>
      </c>
      <c r="N23" s="7">
        <f>Parameters!$B$7-G23</f>
        <v>9</v>
      </c>
      <c r="O23" t="str">
        <f>IF(N23&lt;=7,"0-7 days",IF(N23&lt;=14,"8-14 days",IF(N23&lt;=30,"15-30 days","Over 30 days")))</f>
        <v>8-14 days</v>
      </c>
      <c r="P23" t="inlineStr">
        <is>
          <t>Not received</t>
        </is>
      </c>
    </row>
    <row r="24">
      <c r="A24" t="inlineStr">
        <is>
          <t>LFL-1047461</t>
        </is>
      </c>
      <c r="B24" t="inlineStr">
        <is>
          <t>Copperline Freight Brokerage Inc.</t>
        </is>
      </c>
      <c r="C24" t="inlineStr">
        <is>
          <t>Joliet, IL</t>
        </is>
      </c>
      <c r="D24" t="inlineStr">
        <is>
          <t>Columbus, OH</t>
        </is>
      </c>
      <c r="E24" t="inlineStr">
        <is>
          <t>Dry van 53 ft</t>
        </is>
      </c>
      <c r="F24" s="23" t="n">
        <v>46316</v>
      </c>
      <c r="G24" s="23" t="n">
        <v>46317</v>
      </c>
      <c r="H24" s="5" t="n">
        <v>372</v>
      </c>
      <c r="I24" s="6" t="n">
        <v>1035</v>
      </c>
      <c r="J24" s="6" t="n">
        <v>171</v>
      </c>
      <c r="M24" s="6">
        <f>SUM(I24:K24)</f>
        <v>1206</v>
      </c>
      <c r="N24" s="7">
        <f>Parameters!$B$7-G24</f>
        <v>9</v>
      </c>
      <c r="O24" t="str">
        <f>IF(N24&lt;=7,"0-7 days",IF(N24&lt;=14,"8-14 days",IF(N24&lt;=30,"15-30 days","Over 30 days")))</f>
        <v>8-14 days</v>
      </c>
      <c r="P24" t="inlineStr">
        <is>
          <t>Not received</t>
        </is>
      </c>
    </row>
    <row r="25">
      <c r="A25" t="inlineStr">
        <is>
          <t>LFL-1047496</t>
        </is>
      </c>
      <c r="B25" t="inlineStr">
        <is>
          <t>Copperline Freight Brokerage Inc.</t>
        </is>
      </c>
      <c r="C25" t="inlineStr">
        <is>
          <t>Gary, IN</t>
        </is>
      </c>
      <c r="D25" t="inlineStr">
        <is>
          <t>Cleveland, OH</t>
        </is>
      </c>
      <c r="E25" t="inlineStr">
        <is>
          <t>Dry van 53 ft</t>
        </is>
      </c>
      <c r="F25" s="23" t="n">
        <v>46317</v>
      </c>
      <c r="G25" s="23" t="n">
        <v>46318</v>
      </c>
      <c r="H25" s="5" t="n">
        <v>318</v>
      </c>
      <c r="I25" s="6" t="n">
        <v>910</v>
      </c>
      <c r="J25" s="6" t="n">
        <v>146</v>
      </c>
      <c r="M25" s="6">
        <f>SUM(I25:K25)</f>
        <v>1056</v>
      </c>
      <c r="N25" s="7">
        <f>Parameters!$B$7-G25</f>
        <v>8</v>
      </c>
      <c r="O25" t="str">
        <f>IF(N25&lt;=7,"0-7 days",IF(N25&lt;=14,"8-14 days",IF(N25&lt;=30,"15-30 days","Over 30 days")))</f>
        <v>8-14 days</v>
      </c>
      <c r="P25" t="inlineStr">
        <is>
          <t>Not received</t>
        </is>
      </c>
    </row>
    <row r="26">
      <c r="A26" t="inlineStr">
        <is>
          <t>LFL-1047571</t>
        </is>
      </c>
      <c r="B26" t="inlineStr">
        <is>
          <t>Copperline Freight Brokerage Inc.</t>
        </is>
      </c>
      <c r="C26" t="inlineStr">
        <is>
          <t>Gary, IN</t>
        </is>
      </c>
      <c r="D26" t="inlineStr">
        <is>
          <t>Harrisburg, PA</t>
        </is>
      </c>
      <c r="E26" t="inlineStr">
        <is>
          <t>Dry van 53 ft</t>
        </is>
      </c>
      <c r="F26" s="23" t="n">
        <v>46319</v>
      </c>
      <c r="G26" s="23" t="n">
        <v>46321</v>
      </c>
      <c r="H26" s="5" t="n">
        <v>668</v>
      </c>
      <c r="I26" s="6" t="n">
        <v>1595</v>
      </c>
      <c r="J26" s="6" t="n">
        <v>307</v>
      </c>
      <c r="K26" s="6" t="n">
        <v>125</v>
      </c>
      <c r="L26" t="inlineStr">
        <is>
          <t>Stop-off (1)</t>
        </is>
      </c>
      <c r="M26" s="6">
        <f>SUM(I26:K26)</f>
        <v>2027</v>
      </c>
      <c r="N26" s="7">
        <f>Parameters!$B$7-G26</f>
        <v>5</v>
      </c>
      <c r="O26" t="str">
        <f>IF(N26&lt;=7,"0-7 days",IF(N26&lt;=14,"8-14 days",IF(N26&lt;=30,"15-30 days","Over 30 days")))</f>
        <v>0-7 days</v>
      </c>
      <c r="P26" t="inlineStr">
        <is>
          <t>Not received</t>
        </is>
      </c>
    </row>
    <row r="27">
      <c r="A27" t="inlineStr">
        <is>
          <t>LFL-1047596</t>
        </is>
      </c>
      <c r="B27" t="inlineStr">
        <is>
          <t>Copperline Freight Brokerage Inc.</t>
        </is>
      </c>
      <c r="C27" t="inlineStr">
        <is>
          <t>Joliet, IL</t>
        </is>
      </c>
      <c r="D27" t="inlineStr">
        <is>
          <t>Allentown, PA</t>
        </is>
      </c>
      <c r="E27" t="inlineStr">
        <is>
          <t>Dry van 53 ft</t>
        </is>
      </c>
      <c r="F27" s="23" t="n">
        <v>46319</v>
      </c>
      <c r="G27" s="23" t="n">
        <v>46321</v>
      </c>
      <c r="H27" s="5" t="n">
        <v>772</v>
      </c>
      <c r="I27" s="6" t="n">
        <v>1740</v>
      </c>
      <c r="J27" s="6" t="n">
        <v>355</v>
      </c>
      <c r="M27" s="6">
        <f>SUM(I27:K27)</f>
        <v>2095</v>
      </c>
      <c r="N27" s="7">
        <f>Parameters!$B$7-G27</f>
        <v>5</v>
      </c>
      <c r="O27" t="str">
        <f>IF(N27&lt;=7,"0-7 days",IF(N27&lt;=14,"8-14 days",IF(N27&lt;=30,"15-30 days","Over 30 days")))</f>
        <v>0-7 days</v>
      </c>
      <c r="P27" t="inlineStr">
        <is>
          <t>Not received</t>
        </is>
      </c>
    </row>
    <row r="28">
      <c r="A28" t="inlineStr">
        <is>
          <t>LFL-1047546</t>
        </is>
      </c>
      <c r="B28" t="inlineStr">
        <is>
          <t>Copperline Freight Brokerage Inc.</t>
        </is>
      </c>
      <c r="C28" t="inlineStr">
        <is>
          <t>Bolingbrook, IL</t>
        </is>
      </c>
      <c r="D28" t="inlineStr">
        <is>
          <t>Charlotte, NC</t>
        </is>
      </c>
      <c r="E28" t="inlineStr">
        <is>
          <t>Dry van 53 ft</t>
        </is>
      </c>
      <c r="F28" s="23" t="n">
        <v>46318</v>
      </c>
      <c r="G28" s="23" t="n">
        <v>46322</v>
      </c>
      <c r="H28" s="5" t="n">
        <v>783</v>
      </c>
      <c r="I28" s="6" t="n">
        <v>1800</v>
      </c>
      <c r="J28" s="6" t="n">
        <v>360</v>
      </c>
      <c r="M28" s="6">
        <f>SUM(I28:K28)</f>
        <v>2160</v>
      </c>
      <c r="N28" s="7">
        <f>Parameters!$B$7-G28</f>
        <v>4</v>
      </c>
      <c r="O28" t="str">
        <f>IF(N28&lt;=7,"0-7 days",IF(N28&lt;=14,"8-14 days",IF(N28&lt;=30,"15-30 days","Over 30 days")))</f>
        <v>0-7 days</v>
      </c>
      <c r="P28" t="inlineStr">
        <is>
          <t>Not received</t>
        </is>
      </c>
    </row>
    <row r="29">
      <c r="A29" t="inlineStr">
        <is>
          <t>LFL-1047686</t>
        </is>
      </c>
      <c r="B29" t="inlineStr">
        <is>
          <t>Copperline Freight Brokerage Inc.</t>
        </is>
      </c>
      <c r="C29" t="inlineStr">
        <is>
          <t>Gary, IN</t>
        </is>
      </c>
      <c r="D29" t="inlineStr">
        <is>
          <t>Pittsburgh, PA</t>
        </is>
      </c>
      <c r="E29" t="inlineStr">
        <is>
          <t>Dry van 53 ft</t>
        </is>
      </c>
      <c r="F29" s="23" t="n">
        <v>46321</v>
      </c>
      <c r="G29" s="23" t="n">
        <v>46322</v>
      </c>
      <c r="H29" s="5" t="n">
        <v>437</v>
      </c>
      <c r="I29" s="6" t="n">
        <v>1205</v>
      </c>
      <c r="J29" s="6" t="n">
        <v>201</v>
      </c>
      <c r="M29" s="6">
        <f>SUM(I29:K29)</f>
        <v>1406</v>
      </c>
      <c r="N29" s="7">
        <f>Parameters!$B$7-G29</f>
        <v>4</v>
      </c>
      <c r="O29" t="str">
        <f>IF(N29&lt;=7,"0-7 days",IF(N29&lt;=14,"8-14 days",IF(N29&lt;=30,"15-30 days","Over 30 days")))</f>
        <v>0-7 days</v>
      </c>
      <c r="P29" t="inlineStr">
        <is>
          <t>Not received</t>
        </is>
      </c>
    </row>
    <row r="30">
      <c r="A30" t="inlineStr">
        <is>
          <t>LFL-1047670</t>
        </is>
      </c>
      <c r="B30" t="inlineStr">
        <is>
          <t>Copperline Freight Brokerage Inc.</t>
        </is>
      </c>
      <c r="C30" t="inlineStr">
        <is>
          <t>Gary, IN</t>
        </is>
      </c>
      <c r="D30" t="inlineStr">
        <is>
          <t>Edison, NJ</t>
        </is>
      </c>
      <c r="E30" t="inlineStr">
        <is>
          <t>Dry van 53 ft</t>
        </is>
      </c>
      <c r="F30" s="23" t="n">
        <v>46321</v>
      </c>
      <c r="G30" s="23" t="n">
        <v>46323</v>
      </c>
      <c r="H30" s="5" t="n">
        <v>791</v>
      </c>
      <c r="I30" s="6" t="n">
        <v>1755</v>
      </c>
      <c r="J30" s="6" t="n">
        <v>364</v>
      </c>
      <c r="M30" s="6">
        <f>SUM(I30:K30)</f>
        <v>2119</v>
      </c>
      <c r="N30" s="7">
        <f>Parameters!$B$7-G30</f>
        <v>3</v>
      </c>
      <c r="O30" t="str">
        <f>IF(N30&lt;=7,"0-7 days",IF(N30&lt;=14,"8-14 days",IF(N30&lt;=30,"15-30 days","Over 30 days")))</f>
        <v>0-7 days</v>
      </c>
      <c r="P30" t="inlineStr">
        <is>
          <t>Not received</t>
        </is>
      </c>
    </row>
    <row r="31">
      <c r="A31" t="inlineStr">
        <is>
          <t>LFL-1047708</t>
        </is>
      </c>
      <c r="B31" t="inlineStr">
        <is>
          <t>Copperline Freight Brokerage Inc.</t>
        </is>
      </c>
      <c r="C31" t="inlineStr">
        <is>
          <t>Elk Grove Village, IL</t>
        </is>
      </c>
      <c r="D31" t="inlineStr">
        <is>
          <t>Buffalo, NY</t>
        </is>
      </c>
      <c r="E31" t="inlineStr">
        <is>
          <t>Dry van 53 ft</t>
        </is>
      </c>
      <c r="F31" s="23" t="n">
        <v>46322</v>
      </c>
      <c r="G31" s="23" t="n">
        <v>46323</v>
      </c>
      <c r="H31" s="5" t="n">
        <v>563</v>
      </c>
      <c r="I31" s="6" t="n">
        <v>1385</v>
      </c>
      <c r="J31" s="6" t="n">
        <v>259</v>
      </c>
      <c r="M31" s="6">
        <f>SUM(I31:K31)</f>
        <v>1644</v>
      </c>
      <c r="N31" s="7">
        <f>Parameters!$B$7-G31</f>
        <v>3</v>
      </c>
      <c r="O31" t="str">
        <f>IF(N31&lt;=7,"0-7 days",IF(N31&lt;=14,"8-14 days",IF(N31&lt;=30,"15-30 days","Over 30 days")))</f>
        <v>0-7 days</v>
      </c>
      <c r="P31" t="inlineStr">
        <is>
          <t>Not received</t>
        </is>
      </c>
    </row>
    <row r="32">
      <c r="A32" t="inlineStr">
        <is>
          <t>LFL-1047702</t>
        </is>
      </c>
      <c r="B32" t="inlineStr">
        <is>
          <t>Copperline Freight Brokerage Inc.</t>
        </is>
      </c>
      <c r="C32" t="inlineStr">
        <is>
          <t>Gary, IN</t>
        </is>
      </c>
      <c r="D32" t="inlineStr">
        <is>
          <t>Baltimore, MD</t>
        </is>
      </c>
      <c r="E32" t="inlineStr">
        <is>
          <t>Dry van 53 ft</t>
        </is>
      </c>
      <c r="F32" s="23" t="n">
        <v>46322</v>
      </c>
      <c r="G32" s="23" t="n">
        <v>46324</v>
      </c>
      <c r="H32" s="5" t="n">
        <v>683</v>
      </c>
      <c r="I32" s="6" t="n">
        <v>1710</v>
      </c>
      <c r="J32" s="6" t="n">
        <v>314</v>
      </c>
      <c r="K32" s="6" t="n">
        <v>75</v>
      </c>
      <c r="L32" t="inlineStr">
        <is>
          <t>Detention 1.5 hr</t>
        </is>
      </c>
      <c r="M32" s="6">
        <f>SUM(I32:K32)</f>
        <v>2099</v>
      </c>
      <c r="N32" s="7">
        <f>Parameters!$B$7-G32</f>
        <v>2</v>
      </c>
      <c r="O32" t="str">
        <f>IF(N32&lt;=7,"0-7 days",IF(N32&lt;=14,"8-14 days",IF(N32&lt;=30,"15-30 days","Over 30 days")))</f>
        <v>0-7 days</v>
      </c>
      <c r="P32" t="inlineStr">
        <is>
          <t>Not received</t>
        </is>
      </c>
    </row>
    <row r="33">
      <c r="A33" t="inlineStr">
        <is>
          <t>LFL-1047760</t>
        </is>
      </c>
      <c r="B33" t="inlineStr">
        <is>
          <t>Copperline Freight Brokerage Inc.</t>
        </is>
      </c>
      <c r="C33" t="inlineStr">
        <is>
          <t>Gary, IN</t>
        </is>
      </c>
      <c r="D33" t="inlineStr">
        <is>
          <t>Columbus, OH</t>
        </is>
      </c>
      <c r="E33" t="inlineStr">
        <is>
          <t>Dry van 53 ft</t>
        </is>
      </c>
      <c r="F33" s="23" t="n">
        <v>46323</v>
      </c>
      <c r="G33" s="23" t="n">
        <v>46324</v>
      </c>
      <c r="H33" s="5" t="n">
        <v>331</v>
      </c>
      <c r="I33" s="6" t="n">
        <v>935</v>
      </c>
      <c r="J33" s="6" t="n">
        <v>152</v>
      </c>
      <c r="M33" s="6">
        <f>SUM(I33:K33)</f>
        <v>1087</v>
      </c>
      <c r="N33" s="7">
        <f>Parameters!$B$7-G33</f>
        <v>2</v>
      </c>
      <c r="O33" t="str">
        <f>IF(N33&lt;=7,"0-7 days",IF(N33&lt;=14,"8-14 days",IF(N33&lt;=30,"15-30 days","Over 30 days")))</f>
        <v>0-7 days</v>
      </c>
      <c r="P33" t="inlineStr">
        <is>
          <t>Not received</t>
        </is>
      </c>
    </row>
    <row r="34">
      <c r="A34" t="inlineStr">
        <is>
          <t>LFL-1047786</t>
        </is>
      </c>
      <c r="B34" t="inlineStr">
        <is>
          <t>Copperline Freight Brokerage Inc.</t>
        </is>
      </c>
      <c r="C34" t="inlineStr">
        <is>
          <t>Joliet, IL</t>
        </is>
      </c>
      <c r="D34" t="inlineStr">
        <is>
          <t>Allentown, PA</t>
        </is>
      </c>
      <c r="E34" t="inlineStr">
        <is>
          <t>Dry van 53 ft</t>
        </is>
      </c>
      <c r="F34" s="23" t="n">
        <v>46323</v>
      </c>
      <c r="G34" s="23" t="n">
        <v>46325</v>
      </c>
      <c r="H34" s="5" t="n">
        <v>772</v>
      </c>
      <c r="I34" s="6" t="n">
        <v>1690</v>
      </c>
      <c r="J34" s="6" t="n">
        <v>355</v>
      </c>
      <c r="M34" s="6">
        <f>SUM(I34:K34)</f>
        <v>2045</v>
      </c>
      <c r="N34" s="7">
        <f>Parameters!$B$7-G34</f>
        <v>1</v>
      </c>
      <c r="O34" t="str">
        <f>IF(N34&lt;=7,"0-7 days",IF(N34&lt;=14,"8-14 days",IF(N34&lt;=30,"15-30 days","Over 30 days")))</f>
        <v>0-7 days</v>
      </c>
      <c r="P34" t="inlineStr">
        <is>
          <t>Not received</t>
        </is>
      </c>
    </row>
    <row r="35">
      <c r="A35" t="inlineStr">
        <is>
          <t>LFL-1047814</t>
        </is>
      </c>
      <c r="B35" t="inlineStr">
        <is>
          <t>Copperline Freight Brokerage Inc.</t>
        </is>
      </c>
      <c r="C35" t="inlineStr">
        <is>
          <t>Joliet, IL</t>
        </is>
      </c>
      <c r="D35" t="inlineStr">
        <is>
          <t>Columbus, OH</t>
        </is>
      </c>
      <c r="E35" t="inlineStr">
        <is>
          <t>Dry van 53 ft</t>
        </is>
      </c>
      <c r="F35" s="23" t="n">
        <v>46324</v>
      </c>
      <c r="G35" s="23" t="n">
        <v>46325</v>
      </c>
      <c r="H35" s="5" t="n">
        <v>372</v>
      </c>
      <c r="I35" s="6" t="n">
        <v>1005</v>
      </c>
      <c r="J35" s="6" t="n">
        <v>171</v>
      </c>
      <c r="M35" s="6">
        <f>SUM(I35:K35)</f>
        <v>1176</v>
      </c>
      <c r="N35" s="7">
        <f>Parameters!$B$7-G35</f>
        <v>1</v>
      </c>
      <c r="O35" t="str">
        <f>IF(N35&lt;=7,"0-7 days",IF(N35&lt;=14,"8-14 days",IF(N35&lt;=30,"15-30 days","Over 30 days")))</f>
        <v>0-7 days</v>
      </c>
      <c r="P35" t="inlineStr">
        <is>
          <t>Not received</t>
        </is>
      </c>
    </row>
    <row r="36">
      <c r="A36" t="inlineStr">
        <is>
          <t>LFL-1046814</t>
        </is>
      </c>
      <c r="B36" t="inlineStr">
        <is>
          <t>Kestrel Lane Logistics LLC</t>
        </is>
      </c>
      <c r="C36" t="inlineStr">
        <is>
          <t>Memphis, TN</t>
        </is>
      </c>
      <c r="D36" t="inlineStr">
        <is>
          <t>Laredo, TX</t>
        </is>
      </c>
      <c r="E36" t="inlineStr">
        <is>
          <t>Dry van 53 ft</t>
        </is>
      </c>
      <c r="F36" s="23" t="n">
        <v>46302</v>
      </c>
      <c r="G36" s="23" t="n">
        <v>46304</v>
      </c>
      <c r="H36" s="5" t="n">
        <v>878</v>
      </c>
      <c r="I36" s="6" t="n">
        <v>1930</v>
      </c>
      <c r="J36" s="6" t="n">
        <v>386</v>
      </c>
      <c r="K36" s="6" t="n">
        <v>75</v>
      </c>
      <c r="L36" t="inlineStr">
        <is>
          <t>Detention 1.5 hr</t>
        </is>
      </c>
      <c r="M36" s="6">
        <f>SUM(I36:K36)</f>
        <v>2391</v>
      </c>
      <c r="N36" s="7">
        <f>Parameters!$B$7-G36</f>
        <v>22</v>
      </c>
      <c r="O36" t="str">
        <f>IF(N36&lt;=7,"0-7 days",IF(N36&lt;=14,"8-14 days",IF(N36&lt;=30,"15-30 days","Over 30 days")))</f>
        <v>15-30 days</v>
      </c>
      <c r="P36" t="inlineStr">
        <is>
          <t>Received, on hold</t>
        </is>
      </c>
      <c r="Q36" t="inlineStr">
        <is>
          <t>Broker billed 3 hr detention; 1.5 hr approved per check-in times. Accrued at the approved amount.</t>
        </is>
      </c>
    </row>
    <row r="37">
      <c r="A37" t="inlineStr">
        <is>
          <t>LFL-1047087</t>
        </is>
      </c>
      <c r="B37" t="inlineStr">
        <is>
          <t>Kestrel Lane Logistics LLC</t>
        </is>
      </c>
      <c r="C37" t="inlineStr">
        <is>
          <t>Memphis, TN</t>
        </is>
      </c>
      <c r="D37" t="inlineStr">
        <is>
          <t>Dallas, TX</t>
        </is>
      </c>
      <c r="E37" t="inlineStr">
        <is>
          <t>Dry van 53 ft</t>
        </is>
      </c>
      <c r="F37" s="23" t="n">
        <v>46308</v>
      </c>
      <c r="G37" s="23" t="n">
        <v>46309</v>
      </c>
      <c r="H37" s="5" t="n">
        <v>452</v>
      </c>
      <c r="I37" s="6" t="n">
        <v>1105</v>
      </c>
      <c r="J37" s="6" t="n">
        <v>199</v>
      </c>
      <c r="M37" s="6">
        <f>SUM(I37:K37)</f>
        <v>1304</v>
      </c>
      <c r="N37" s="7">
        <f>Parameters!$B$7-G37</f>
        <v>17</v>
      </c>
      <c r="O37" t="str">
        <f>IF(N37&lt;=7,"0-7 days",IF(N37&lt;=14,"8-14 days",IF(N37&lt;=30,"15-30 days","Over 30 days")))</f>
        <v>15-30 days</v>
      </c>
      <c r="P37" t="inlineStr">
        <is>
          <t>Not received</t>
        </is>
      </c>
    </row>
    <row r="38">
      <c r="A38" t="inlineStr">
        <is>
          <t>LFL-1047178</t>
        </is>
      </c>
      <c r="B38" t="inlineStr">
        <is>
          <t>Kestrel Lane Logistics LLC</t>
        </is>
      </c>
      <c r="C38" t="inlineStr">
        <is>
          <t>Memphis, TN</t>
        </is>
      </c>
      <c r="D38" t="inlineStr">
        <is>
          <t>Houston, TX</t>
        </is>
      </c>
      <c r="E38" t="inlineStr">
        <is>
          <t>Dry van 53 ft</t>
        </is>
      </c>
      <c r="F38" s="23" t="n">
        <v>46310</v>
      </c>
      <c r="G38" s="23" t="n">
        <v>46311</v>
      </c>
      <c r="H38" s="5" t="n">
        <v>563</v>
      </c>
      <c r="I38" s="6" t="n">
        <v>1345</v>
      </c>
      <c r="J38" s="6" t="n">
        <v>248</v>
      </c>
      <c r="M38" s="6">
        <f>SUM(I38:K38)</f>
        <v>1593</v>
      </c>
      <c r="N38" s="7">
        <f>Parameters!$B$7-G38</f>
        <v>15</v>
      </c>
      <c r="O38" t="str">
        <f>IF(N38&lt;=7,"0-7 days",IF(N38&lt;=14,"8-14 days",IF(N38&lt;=30,"15-30 days","Over 30 days")))</f>
        <v>15-30 days</v>
      </c>
      <c r="P38" t="inlineStr">
        <is>
          <t>Not received</t>
        </is>
      </c>
    </row>
    <row r="39">
      <c r="A39" t="inlineStr">
        <is>
          <t>LFL-1047242</t>
        </is>
      </c>
      <c r="B39" t="inlineStr">
        <is>
          <t>Kestrel Lane Logistics LLC</t>
        </is>
      </c>
      <c r="C39" t="inlineStr">
        <is>
          <t>Memphis, TN</t>
        </is>
      </c>
      <c r="D39" t="inlineStr">
        <is>
          <t>San Antonio, TX</t>
        </is>
      </c>
      <c r="E39" t="inlineStr">
        <is>
          <t>Dry van 53 ft</t>
        </is>
      </c>
      <c r="F39" s="23" t="n">
        <v>46312</v>
      </c>
      <c r="G39" s="23" t="n">
        <v>46314</v>
      </c>
      <c r="H39" s="5" t="n">
        <v>725</v>
      </c>
      <c r="I39" s="6" t="n">
        <v>1580</v>
      </c>
      <c r="J39" s="6" t="n">
        <v>319</v>
      </c>
      <c r="M39" s="6">
        <f>SUM(I39:K39)</f>
        <v>1899</v>
      </c>
      <c r="N39" s="7">
        <f>Parameters!$B$7-G39</f>
        <v>12</v>
      </c>
      <c r="O39" t="str">
        <f>IF(N39&lt;=7,"0-7 days",IF(N39&lt;=14,"8-14 days",IF(N39&lt;=30,"15-30 days","Over 30 days")))</f>
        <v>8-14 days</v>
      </c>
      <c r="P39" t="inlineStr">
        <is>
          <t>Not received</t>
        </is>
      </c>
    </row>
    <row r="40">
      <c r="A40" t="inlineStr">
        <is>
          <t>LFL-1047355</t>
        </is>
      </c>
      <c r="B40" t="inlineStr">
        <is>
          <t>Kestrel Lane Logistics LLC</t>
        </is>
      </c>
      <c r="C40" t="inlineStr">
        <is>
          <t>Memphis, TN</t>
        </is>
      </c>
      <c r="D40" t="inlineStr">
        <is>
          <t>Oklahoma City, OK</t>
        </is>
      </c>
      <c r="E40" t="inlineStr">
        <is>
          <t>Dry van 53 ft</t>
        </is>
      </c>
      <c r="F40" s="23" t="n">
        <v>46314</v>
      </c>
      <c r="G40" s="23" t="n">
        <v>46315</v>
      </c>
      <c r="H40" s="5" t="n">
        <v>467</v>
      </c>
      <c r="I40" s="6" t="n">
        <v>1155</v>
      </c>
      <c r="J40" s="6" t="n">
        <v>205</v>
      </c>
      <c r="M40" s="6">
        <f>SUM(I40:K40)</f>
        <v>1360</v>
      </c>
      <c r="N40" s="7">
        <f>Parameters!$B$7-G40</f>
        <v>11</v>
      </c>
      <c r="O40" t="str">
        <f>IF(N40&lt;=7,"0-7 days",IF(N40&lt;=14,"8-14 days",IF(N40&lt;=30,"15-30 days","Over 30 days")))</f>
        <v>8-14 days</v>
      </c>
      <c r="P40" t="inlineStr">
        <is>
          <t>Not received</t>
        </is>
      </c>
    </row>
    <row r="41">
      <c r="A41" t="inlineStr">
        <is>
          <t>LFL-1047348</t>
        </is>
      </c>
      <c r="B41" t="inlineStr">
        <is>
          <t>Kestrel Lane Logistics LLC</t>
        </is>
      </c>
      <c r="C41" t="inlineStr">
        <is>
          <t>Memphis, TN</t>
        </is>
      </c>
      <c r="D41" t="inlineStr">
        <is>
          <t>El Paso, TX</t>
        </is>
      </c>
      <c r="E41" t="inlineStr">
        <is>
          <t>Dry van 53 ft</t>
        </is>
      </c>
      <c r="F41" s="23" t="n">
        <v>46314</v>
      </c>
      <c r="G41" s="23" t="n">
        <v>46316</v>
      </c>
      <c r="H41" s="5" t="n">
        <v>1080</v>
      </c>
      <c r="I41" s="6" t="n">
        <v>2180</v>
      </c>
      <c r="J41" s="6" t="n">
        <v>475</v>
      </c>
      <c r="M41" s="6">
        <f>SUM(I41:K41)</f>
        <v>2655</v>
      </c>
      <c r="N41" s="7">
        <f>Parameters!$B$7-G41</f>
        <v>10</v>
      </c>
      <c r="O41" t="str">
        <f>IF(N41&lt;=7,"0-7 days",IF(N41&lt;=14,"8-14 days",IF(N41&lt;=30,"15-30 days","Over 30 days")))</f>
        <v>8-14 days</v>
      </c>
      <c r="P41" t="inlineStr">
        <is>
          <t>Not received</t>
        </is>
      </c>
    </row>
    <row r="42">
      <c r="A42" t="inlineStr">
        <is>
          <t>LFL-1047398</t>
        </is>
      </c>
      <c r="B42" t="inlineStr">
        <is>
          <t>Kestrel Lane Logistics LLC</t>
        </is>
      </c>
      <c r="C42" t="inlineStr">
        <is>
          <t>Memphis, TN</t>
        </is>
      </c>
      <c r="D42" t="inlineStr">
        <is>
          <t>San Antonio, TX</t>
        </is>
      </c>
      <c r="E42" t="inlineStr">
        <is>
          <t>Dry van 53 ft</t>
        </is>
      </c>
      <c r="F42" s="23" t="n">
        <v>46315</v>
      </c>
      <c r="G42" s="23" t="n">
        <v>46317</v>
      </c>
      <c r="H42" s="5" t="n">
        <v>725</v>
      </c>
      <c r="I42" s="6" t="n">
        <v>1680</v>
      </c>
      <c r="J42" s="6" t="n">
        <v>319</v>
      </c>
      <c r="M42" s="6">
        <f>SUM(I42:K42)</f>
        <v>1999</v>
      </c>
      <c r="N42" s="7">
        <f>Parameters!$B$7-G42</f>
        <v>9</v>
      </c>
      <c r="O42" t="str">
        <f>IF(N42&lt;=7,"0-7 days",IF(N42&lt;=14,"8-14 days",IF(N42&lt;=30,"15-30 days","Over 30 days")))</f>
        <v>8-14 days</v>
      </c>
      <c r="P42" t="inlineStr">
        <is>
          <t>Not received</t>
        </is>
      </c>
    </row>
    <row r="43">
      <c r="A43" t="inlineStr">
        <is>
          <t>LFL-1047465</t>
        </is>
      </c>
      <c r="B43" t="inlineStr">
        <is>
          <t>Kestrel Lane Logistics LLC</t>
        </is>
      </c>
      <c r="C43" t="inlineStr">
        <is>
          <t>Olive Branch, MS</t>
        </is>
      </c>
      <c r="D43" t="inlineStr">
        <is>
          <t>Dallas, TX</t>
        </is>
      </c>
      <c r="E43" t="inlineStr">
        <is>
          <t>Dry van 53 ft</t>
        </is>
      </c>
      <c r="F43" s="23" t="n">
        <v>46316</v>
      </c>
      <c r="G43" s="23" t="n">
        <v>46317</v>
      </c>
      <c r="H43" s="5" t="n">
        <v>470</v>
      </c>
      <c r="I43" s="6" t="n">
        <v>1145</v>
      </c>
      <c r="J43" s="6" t="n">
        <v>207</v>
      </c>
      <c r="K43" s="6" t="n">
        <v>75</v>
      </c>
      <c r="L43" t="inlineStr">
        <is>
          <t>Driver assist</t>
        </is>
      </c>
      <c r="M43" s="6">
        <f>SUM(I43:K43)</f>
        <v>1427</v>
      </c>
      <c r="N43" s="7">
        <f>Parameters!$B$7-G43</f>
        <v>9</v>
      </c>
      <c r="O43" t="str">
        <f>IF(N43&lt;=7,"0-7 days",IF(N43&lt;=14,"8-14 days",IF(N43&lt;=30,"15-30 days","Over 30 days")))</f>
        <v>8-14 days</v>
      </c>
      <c r="P43" t="inlineStr">
        <is>
          <t>Not received</t>
        </is>
      </c>
    </row>
    <row r="44">
      <c r="A44" t="inlineStr">
        <is>
          <t>LFL-1047392</t>
        </is>
      </c>
      <c r="B44" t="inlineStr">
        <is>
          <t>Kestrel Lane Logistics LLC</t>
        </is>
      </c>
      <c r="C44" t="inlineStr">
        <is>
          <t>Memphis, TN</t>
        </is>
      </c>
      <c r="D44" t="inlineStr">
        <is>
          <t>Phoenix, AZ</t>
        </is>
      </c>
      <c r="E44" t="inlineStr">
        <is>
          <t>Dry van 53 ft</t>
        </is>
      </c>
      <c r="F44" s="23" t="n">
        <v>46315</v>
      </c>
      <c r="G44" s="23" t="n">
        <v>46318</v>
      </c>
      <c r="H44" s="5" t="n">
        <v>1462</v>
      </c>
      <c r="I44" s="6" t="n">
        <v>2945</v>
      </c>
      <c r="J44" s="6" t="n">
        <v>643</v>
      </c>
      <c r="M44" s="6">
        <f>SUM(I44:K44)</f>
        <v>3588</v>
      </c>
      <c r="N44" s="7">
        <f>Parameters!$B$7-G44</f>
        <v>8</v>
      </c>
      <c r="O44" t="str">
        <f>IF(N44&lt;=7,"0-7 days",IF(N44&lt;=14,"8-14 days",IF(N44&lt;=30,"15-30 days","Over 30 days")))</f>
        <v>8-14 days</v>
      </c>
      <c r="P44" t="inlineStr">
        <is>
          <t>Not received</t>
        </is>
      </c>
    </row>
    <row r="45">
      <c r="A45" t="inlineStr">
        <is>
          <t>LFL-1047473</t>
        </is>
      </c>
      <c r="B45" t="inlineStr">
        <is>
          <t>Kestrel Lane Logistics LLC</t>
        </is>
      </c>
      <c r="C45" t="inlineStr">
        <is>
          <t>Memphis, TN</t>
        </is>
      </c>
      <c r="D45" t="inlineStr">
        <is>
          <t>Dallas, TX</t>
        </is>
      </c>
      <c r="E45" t="inlineStr">
        <is>
          <t>Dry van 53 ft</t>
        </is>
      </c>
      <c r="F45" s="23" t="n">
        <v>46317</v>
      </c>
      <c r="G45" s="23" t="n">
        <v>46318</v>
      </c>
      <c r="H45" s="5" t="n">
        <v>452</v>
      </c>
      <c r="I45" s="6" t="n">
        <v>1135</v>
      </c>
      <c r="J45" s="6" t="n">
        <v>199</v>
      </c>
      <c r="M45" s="6">
        <f>SUM(I45:K45)</f>
        <v>1334</v>
      </c>
      <c r="N45" s="7">
        <f>Parameters!$B$7-G45</f>
        <v>8</v>
      </c>
      <c r="O45" t="str">
        <f>IF(N45&lt;=7,"0-7 days",IF(N45&lt;=14,"8-14 days",IF(N45&lt;=30,"15-30 days","Over 30 days")))</f>
        <v>8-14 days</v>
      </c>
      <c r="P45" t="inlineStr">
        <is>
          <t>Not received</t>
        </is>
      </c>
    </row>
    <row r="46">
      <c r="A46" t="inlineStr">
        <is>
          <t>LFL-1047543</t>
        </is>
      </c>
      <c r="B46" t="inlineStr">
        <is>
          <t>Kestrel Lane Logistics LLC</t>
        </is>
      </c>
      <c r="C46" t="inlineStr">
        <is>
          <t>Memphis, TN</t>
        </is>
      </c>
      <c r="D46" t="inlineStr">
        <is>
          <t>Houston, TX</t>
        </is>
      </c>
      <c r="E46" t="inlineStr">
        <is>
          <t>Dry van 53 ft</t>
        </is>
      </c>
      <c r="F46" s="23" t="n">
        <v>46318</v>
      </c>
      <c r="G46" s="23" t="n">
        <v>46321</v>
      </c>
      <c r="H46" s="5" t="n">
        <v>563</v>
      </c>
      <c r="I46" s="6" t="n">
        <v>1360</v>
      </c>
      <c r="J46" s="6" t="n">
        <v>248</v>
      </c>
      <c r="M46" s="6">
        <f>SUM(I46:K46)</f>
        <v>1608</v>
      </c>
      <c r="N46" s="7">
        <f>Parameters!$B$7-G46</f>
        <v>5</v>
      </c>
      <c r="O46" t="str">
        <f>IF(N46&lt;=7,"0-7 days",IF(N46&lt;=14,"8-14 days",IF(N46&lt;=30,"15-30 days","Over 30 days")))</f>
        <v>0-7 days</v>
      </c>
      <c r="P46" t="inlineStr">
        <is>
          <t>Not received</t>
        </is>
      </c>
    </row>
    <row r="47">
      <c r="A47" t="inlineStr">
        <is>
          <t>LFL-1047518</t>
        </is>
      </c>
      <c r="B47" t="inlineStr">
        <is>
          <t>Kestrel Lane Logistics LLC</t>
        </is>
      </c>
      <c r="C47" t="inlineStr">
        <is>
          <t>Memphis, TN</t>
        </is>
      </c>
      <c r="D47" t="inlineStr">
        <is>
          <t>San Antonio, TX</t>
        </is>
      </c>
      <c r="E47" t="inlineStr">
        <is>
          <t>Dry van 53 ft</t>
        </is>
      </c>
      <c r="F47" s="23" t="n">
        <v>46318</v>
      </c>
      <c r="G47" s="23" t="n">
        <v>46322</v>
      </c>
      <c r="H47" s="5" t="n">
        <v>725</v>
      </c>
      <c r="I47" s="6" t="n">
        <v>1665</v>
      </c>
      <c r="J47" s="6" t="n">
        <v>319</v>
      </c>
      <c r="K47" s="6" t="n">
        <v>100</v>
      </c>
      <c r="L47" t="inlineStr">
        <is>
          <t>Detention 2 hr</t>
        </is>
      </c>
      <c r="M47" s="6">
        <f>SUM(I47:K47)</f>
        <v>2084</v>
      </c>
      <c r="N47" s="7">
        <f>Parameters!$B$7-G47</f>
        <v>4</v>
      </c>
      <c r="O47" t="str">
        <f>IF(N47&lt;=7,"0-7 days",IF(N47&lt;=14,"8-14 days",IF(N47&lt;=30,"15-30 days","Over 30 days")))</f>
        <v>0-7 days</v>
      </c>
      <c r="P47" t="inlineStr">
        <is>
          <t>Not received</t>
        </is>
      </c>
    </row>
    <row r="48">
      <c r="A48" t="inlineStr">
        <is>
          <t>LFL-1047555</t>
        </is>
      </c>
      <c r="B48" t="inlineStr">
        <is>
          <t>Kestrel Lane Logistics LLC</t>
        </is>
      </c>
      <c r="C48" t="inlineStr">
        <is>
          <t>Memphis, TN</t>
        </is>
      </c>
      <c r="D48" t="inlineStr">
        <is>
          <t>Laredo, TX</t>
        </is>
      </c>
      <c r="E48" t="inlineStr">
        <is>
          <t>Dry van 53 ft</t>
        </is>
      </c>
      <c r="F48" s="23" t="n">
        <v>46318</v>
      </c>
      <c r="G48" s="23" t="n">
        <v>46322</v>
      </c>
      <c r="H48" s="5" t="n">
        <v>878</v>
      </c>
      <c r="I48" s="6" t="n">
        <v>1975</v>
      </c>
      <c r="J48" s="6" t="n">
        <v>386</v>
      </c>
      <c r="M48" s="6">
        <f>SUM(I48:K48)</f>
        <v>2361</v>
      </c>
      <c r="N48" s="7">
        <f>Parameters!$B$7-G48</f>
        <v>4</v>
      </c>
      <c r="O48" t="str">
        <f>IF(N48&lt;=7,"0-7 days",IF(N48&lt;=14,"8-14 days",IF(N48&lt;=30,"15-30 days","Over 30 days")))</f>
        <v>0-7 days</v>
      </c>
      <c r="P48" t="inlineStr">
        <is>
          <t>Not received</t>
        </is>
      </c>
    </row>
    <row r="49">
      <c r="A49" t="inlineStr">
        <is>
          <t>LFL-1047694</t>
        </is>
      </c>
      <c r="B49" t="inlineStr">
        <is>
          <t>Kestrel Lane Logistics LLC</t>
        </is>
      </c>
      <c r="C49" t="inlineStr">
        <is>
          <t>Memphis, TN</t>
        </is>
      </c>
      <c r="D49" t="inlineStr">
        <is>
          <t>El Paso, TX</t>
        </is>
      </c>
      <c r="E49" t="inlineStr">
        <is>
          <t>Dry van 53 ft</t>
        </is>
      </c>
      <c r="F49" s="23" t="n">
        <v>46321</v>
      </c>
      <c r="G49" s="23" t="n">
        <v>46323</v>
      </c>
      <c r="H49" s="5" t="n">
        <v>1080</v>
      </c>
      <c r="I49" s="6" t="n">
        <v>2175</v>
      </c>
      <c r="J49" s="6" t="n">
        <v>475</v>
      </c>
      <c r="M49" s="6">
        <f>SUM(I49:K49)</f>
        <v>2650</v>
      </c>
      <c r="N49" s="7">
        <f>Parameters!$B$7-G49</f>
        <v>3</v>
      </c>
      <c r="O49" t="str">
        <f>IF(N49&lt;=7,"0-7 days",IF(N49&lt;=14,"8-14 days",IF(N49&lt;=30,"15-30 days","Over 30 days")))</f>
        <v>0-7 days</v>
      </c>
      <c r="P49" t="inlineStr">
        <is>
          <t>Not received</t>
        </is>
      </c>
    </row>
    <row r="50">
      <c r="A50" t="inlineStr">
        <is>
          <t>LFL-1047715</t>
        </is>
      </c>
      <c r="B50" t="inlineStr">
        <is>
          <t>Kestrel Lane Logistics LLC</t>
        </is>
      </c>
      <c r="C50" t="inlineStr">
        <is>
          <t>Memphis, TN</t>
        </is>
      </c>
      <c r="D50" t="inlineStr">
        <is>
          <t>Oklahoma City, OK</t>
        </is>
      </c>
      <c r="E50" t="inlineStr">
        <is>
          <t>Dry van 53 ft</t>
        </is>
      </c>
      <c r="F50" s="23" t="n">
        <v>46322</v>
      </c>
      <c r="G50" s="23" t="n">
        <v>46323</v>
      </c>
      <c r="H50" s="5" t="n">
        <v>467</v>
      </c>
      <c r="I50" s="6" t="n">
        <v>1115</v>
      </c>
      <c r="J50" s="6" t="n">
        <v>205</v>
      </c>
      <c r="M50" s="6">
        <f>SUM(I50:K50)</f>
        <v>1320</v>
      </c>
      <c r="N50" s="7">
        <f>Parameters!$B$7-G50</f>
        <v>3</v>
      </c>
      <c r="O50" t="str">
        <f>IF(N50&lt;=7,"0-7 days",IF(N50&lt;=14,"8-14 days",IF(N50&lt;=30,"15-30 days","Over 30 days")))</f>
        <v>0-7 days</v>
      </c>
      <c r="P50" t="inlineStr">
        <is>
          <t>Not received</t>
        </is>
      </c>
    </row>
    <row r="51">
      <c r="A51" t="inlineStr">
        <is>
          <t>LFL-1047776</t>
        </is>
      </c>
      <c r="B51" t="inlineStr">
        <is>
          <t>Kestrel Lane Logistics LLC</t>
        </is>
      </c>
      <c r="C51" t="inlineStr">
        <is>
          <t>Olive Branch, MS</t>
        </is>
      </c>
      <c r="D51" t="inlineStr">
        <is>
          <t>Dallas, TX</t>
        </is>
      </c>
      <c r="E51" t="inlineStr">
        <is>
          <t>Dry van 53 ft</t>
        </is>
      </c>
      <c r="F51" s="23" t="n">
        <v>46323</v>
      </c>
      <c r="G51" s="23" t="n">
        <v>46324</v>
      </c>
      <c r="H51" s="5" t="n">
        <v>470</v>
      </c>
      <c r="I51" s="6" t="n">
        <v>1115</v>
      </c>
      <c r="J51" s="6" t="n">
        <v>207</v>
      </c>
      <c r="M51" s="6">
        <f>SUM(I51:K51)</f>
        <v>1322</v>
      </c>
      <c r="N51" s="7">
        <f>Parameters!$B$7-G51</f>
        <v>2</v>
      </c>
      <c r="O51" t="str">
        <f>IF(N51&lt;=7,"0-7 days",IF(N51&lt;=14,"8-14 days",IF(N51&lt;=30,"15-30 days","Over 30 days")))</f>
        <v>0-7 days</v>
      </c>
      <c r="P51" t="inlineStr">
        <is>
          <t>Not received</t>
        </is>
      </c>
    </row>
    <row r="52">
      <c r="A52" t="inlineStr">
        <is>
          <t>LFL-1047795</t>
        </is>
      </c>
      <c r="B52" t="inlineStr">
        <is>
          <t>Kestrel Lane Logistics LLC</t>
        </is>
      </c>
      <c r="C52" t="inlineStr">
        <is>
          <t>Memphis, TN</t>
        </is>
      </c>
      <c r="D52" t="inlineStr">
        <is>
          <t>Dallas, TX</t>
        </is>
      </c>
      <c r="E52" t="inlineStr">
        <is>
          <t>Dry van 53 ft</t>
        </is>
      </c>
      <c r="F52" s="23" t="n">
        <v>46324</v>
      </c>
      <c r="G52" s="23" t="n">
        <v>46325</v>
      </c>
      <c r="H52" s="5" t="n">
        <v>452</v>
      </c>
      <c r="I52" s="6" t="n">
        <v>1120</v>
      </c>
      <c r="J52" s="6" t="n">
        <v>199</v>
      </c>
      <c r="M52" s="6">
        <f>SUM(I52:K52)</f>
        <v>1319</v>
      </c>
      <c r="N52" s="7">
        <f>Parameters!$B$7-G52</f>
        <v>1</v>
      </c>
      <c r="O52" t="str">
        <f>IF(N52&lt;=7,"0-7 days",IF(N52&lt;=14,"8-14 days",IF(N52&lt;=30,"15-30 days","Over 30 days")))</f>
        <v>0-7 days</v>
      </c>
      <c r="P52" t="inlineStr">
        <is>
          <t>Not received</t>
        </is>
      </c>
    </row>
    <row r="53">
      <c r="A53" t="inlineStr">
        <is>
          <t>LFL-1047812</t>
        </is>
      </c>
      <c r="B53" t="inlineStr">
        <is>
          <t>Kestrel Lane Logistics LLC</t>
        </is>
      </c>
      <c r="C53" t="inlineStr">
        <is>
          <t>Memphis, TN</t>
        </is>
      </c>
      <c r="D53" t="inlineStr">
        <is>
          <t>Houston, TX</t>
        </is>
      </c>
      <c r="E53" t="inlineStr">
        <is>
          <t>Dry van 53 ft</t>
        </is>
      </c>
      <c r="F53" s="23" t="n">
        <v>46324</v>
      </c>
      <c r="G53" s="23" t="n">
        <v>46325</v>
      </c>
      <c r="H53" s="5" t="n">
        <v>563</v>
      </c>
      <c r="I53" s="6" t="n">
        <v>1415</v>
      </c>
      <c r="J53" s="6" t="n">
        <v>248</v>
      </c>
      <c r="M53" s="6">
        <f>SUM(I53:K53)</f>
        <v>1663</v>
      </c>
      <c r="N53" s="7">
        <f>Parameters!$B$7-G53</f>
        <v>1</v>
      </c>
      <c r="O53" t="str">
        <f>IF(N53&lt;=7,"0-7 days",IF(N53&lt;=14,"8-14 days",IF(N53&lt;=30,"15-30 days","Over 30 days")))</f>
        <v>0-7 days</v>
      </c>
      <c r="P53" t="inlineStr">
        <is>
          <t>Not received</t>
        </is>
      </c>
    </row>
    <row r="54">
      <c r="A54" t="inlineStr">
        <is>
          <t>LFL-1046603</t>
        </is>
      </c>
      <c r="B54" t="inlineStr">
        <is>
          <t>Sable Creek Freight Partners LLC</t>
        </is>
      </c>
      <c r="C54" t="inlineStr">
        <is>
          <t>Joliet, IL</t>
        </is>
      </c>
      <c r="D54" t="inlineStr">
        <is>
          <t>Orlando, FL</t>
        </is>
      </c>
      <c r="E54" t="inlineStr">
        <is>
          <t>Reefer 53 ft</t>
        </is>
      </c>
      <c r="F54" s="23" t="n">
        <v>46298</v>
      </c>
      <c r="G54" s="23" t="n">
        <v>46301</v>
      </c>
      <c r="H54" s="5" t="n">
        <v>1160</v>
      </c>
      <c r="I54" s="6" t="n">
        <v>2670</v>
      </c>
      <c r="J54" s="6" t="n">
        <v>545</v>
      </c>
      <c r="K54" s="6" t="n">
        <v>285</v>
      </c>
      <c r="L54" t="inlineStr">
        <is>
          <t>Lumper</t>
        </is>
      </c>
      <c r="M54" s="6">
        <f>SUM(I54:K54)</f>
        <v>3500</v>
      </c>
      <c r="N54" s="7">
        <f>Parameters!$B$7-G54</f>
        <v>25</v>
      </c>
      <c r="O54" t="str">
        <f>IF(N54&lt;=7,"0-7 days",IF(N54&lt;=14,"8-14 days",IF(N54&lt;=30,"15-30 days","Over 30 days")))</f>
        <v>15-30 days</v>
      </c>
      <c r="P54" t="inlineStr">
        <is>
          <t>Received, on hold</t>
        </is>
      </c>
      <c r="Q54" t="inlineStr">
        <is>
          <t>Invoice received 10/09; lumper receipt missing. Broker asked to resubmit with the receipt.</t>
        </is>
      </c>
    </row>
    <row r="55">
      <c r="A55" t="inlineStr">
        <is>
          <t>LFL-1046913</t>
        </is>
      </c>
      <c r="B55" t="inlineStr">
        <is>
          <t>Sable Creek Freight Partners LLC</t>
        </is>
      </c>
      <c r="C55" t="inlineStr">
        <is>
          <t>Bolingbrook, IL</t>
        </is>
      </c>
      <c r="D55" t="inlineStr">
        <is>
          <t>Atlanta, GA</t>
        </is>
      </c>
      <c r="E55" t="inlineStr">
        <is>
          <t>Reefer 53 ft</t>
        </is>
      </c>
      <c r="F55" s="23" t="n">
        <v>46304</v>
      </c>
      <c r="G55" s="23" t="n">
        <v>46308</v>
      </c>
      <c r="H55" s="5" t="n">
        <v>735</v>
      </c>
      <c r="I55" s="6" t="n">
        <v>1865</v>
      </c>
      <c r="J55" s="6" t="n">
        <v>345</v>
      </c>
      <c r="M55" s="6">
        <f>SUM(I55:K55)</f>
        <v>2210</v>
      </c>
      <c r="N55" s="7">
        <f>Parameters!$B$7-G55</f>
        <v>18</v>
      </c>
      <c r="O55" t="str">
        <f>IF(N55&lt;=7,"0-7 days",IF(N55&lt;=14,"8-14 days",IF(N55&lt;=30,"15-30 days","Over 30 days")))</f>
        <v>15-30 days</v>
      </c>
      <c r="P55" t="inlineStr">
        <is>
          <t>Not received</t>
        </is>
      </c>
    </row>
    <row r="56">
      <c r="A56" t="inlineStr">
        <is>
          <t>LFL-1047116</t>
        </is>
      </c>
      <c r="B56" t="inlineStr">
        <is>
          <t>Sable Creek Freight Partners LLC</t>
        </is>
      </c>
      <c r="C56" t="inlineStr">
        <is>
          <t>Gary, IN</t>
        </is>
      </c>
      <c r="D56" t="inlineStr">
        <is>
          <t>Atlanta, GA</t>
        </is>
      </c>
      <c r="E56" t="inlineStr">
        <is>
          <t>Dry van 53 ft</t>
        </is>
      </c>
      <c r="F56" s="23" t="n">
        <v>46309</v>
      </c>
      <c r="G56" s="23" t="n">
        <v>46311</v>
      </c>
      <c r="H56" s="5" t="n">
        <v>688</v>
      </c>
      <c r="I56" s="6" t="n">
        <v>1650</v>
      </c>
      <c r="J56" s="6" t="n">
        <v>323</v>
      </c>
      <c r="M56" s="6">
        <f>SUM(I56:K56)</f>
        <v>1973</v>
      </c>
      <c r="N56" s="7">
        <f>Parameters!$B$7-G56</f>
        <v>15</v>
      </c>
      <c r="O56" t="str">
        <f>IF(N56&lt;=7,"0-7 days",IF(N56&lt;=14,"8-14 days",IF(N56&lt;=30,"15-30 days","Over 30 days")))</f>
        <v>15-30 days</v>
      </c>
      <c r="P56" t="inlineStr">
        <is>
          <t>Not received</t>
        </is>
      </c>
    </row>
    <row r="57">
      <c r="A57" t="inlineStr">
        <is>
          <t>LFL-1047253</t>
        </is>
      </c>
      <c r="B57" t="inlineStr">
        <is>
          <t>Sable Creek Freight Partners LLC</t>
        </is>
      </c>
      <c r="C57" t="inlineStr">
        <is>
          <t>Elk Grove Village, IL</t>
        </is>
      </c>
      <c r="D57" t="inlineStr">
        <is>
          <t>Jacksonville, FL</t>
        </is>
      </c>
      <c r="E57" t="inlineStr">
        <is>
          <t>Reefer 53 ft</t>
        </is>
      </c>
      <c r="F57" s="23" t="n">
        <v>46312</v>
      </c>
      <c r="G57" s="23" t="n">
        <v>46314</v>
      </c>
      <c r="H57" s="5" t="n">
        <v>1060</v>
      </c>
      <c r="I57" s="6" t="n">
        <v>2460</v>
      </c>
      <c r="J57" s="6" t="n">
        <v>498</v>
      </c>
      <c r="K57" s="6" t="n">
        <v>310</v>
      </c>
      <c r="L57" t="inlineStr">
        <is>
          <t>Lumper</t>
        </is>
      </c>
      <c r="M57" s="6">
        <f>SUM(I57:K57)</f>
        <v>3268</v>
      </c>
      <c r="N57" s="7">
        <f>Parameters!$B$7-G57</f>
        <v>12</v>
      </c>
      <c r="O57" t="str">
        <f>IF(N57&lt;=7,"0-7 days",IF(N57&lt;=14,"8-14 days",IF(N57&lt;=30,"15-30 days","Over 30 days")))</f>
        <v>8-14 days</v>
      </c>
      <c r="P57" t="inlineStr">
        <is>
          <t>Not received</t>
        </is>
      </c>
    </row>
    <row r="58">
      <c r="A58" t="inlineStr">
        <is>
          <t>LFL-1047208</t>
        </is>
      </c>
      <c r="B58" t="inlineStr">
        <is>
          <t>Sable Creek Freight Partners LLC</t>
        </is>
      </c>
      <c r="C58" t="inlineStr">
        <is>
          <t>Gary, IN</t>
        </is>
      </c>
      <c r="D58" t="inlineStr">
        <is>
          <t>Charlotte, NC</t>
        </is>
      </c>
      <c r="E58" t="inlineStr">
        <is>
          <t>Dry van 53 ft</t>
        </is>
      </c>
      <c r="F58" s="23" t="n">
        <v>46311</v>
      </c>
      <c r="G58" s="23" t="n">
        <v>46315</v>
      </c>
      <c r="H58" s="5" t="n">
        <v>742</v>
      </c>
      <c r="I58" s="6" t="n">
        <v>1700</v>
      </c>
      <c r="J58" s="6" t="n">
        <v>349</v>
      </c>
      <c r="M58" s="6">
        <f>SUM(I58:K58)</f>
        <v>2049</v>
      </c>
      <c r="N58" s="7">
        <f>Parameters!$B$7-G58</f>
        <v>11</v>
      </c>
      <c r="O58" t="str">
        <f>IF(N58&lt;=7,"0-7 days",IF(N58&lt;=14,"8-14 days",IF(N58&lt;=30,"15-30 days","Over 30 days")))</f>
        <v>8-14 days</v>
      </c>
      <c r="P58" t="inlineStr">
        <is>
          <t>Not received</t>
        </is>
      </c>
    </row>
    <row r="59">
      <c r="A59" t="inlineStr">
        <is>
          <t>LFL-1047218</t>
        </is>
      </c>
      <c r="B59" t="inlineStr">
        <is>
          <t>Sable Creek Freight Partners LLC</t>
        </is>
      </c>
      <c r="C59" t="inlineStr">
        <is>
          <t>Romeoville, IL</t>
        </is>
      </c>
      <c r="D59" t="inlineStr">
        <is>
          <t>Tampa, FL</t>
        </is>
      </c>
      <c r="E59" t="inlineStr">
        <is>
          <t>Reefer 53 ft</t>
        </is>
      </c>
      <c r="F59" s="23" t="n">
        <v>46311</v>
      </c>
      <c r="G59" s="23" t="n">
        <v>46316</v>
      </c>
      <c r="H59" s="5" t="n">
        <v>1175</v>
      </c>
      <c r="I59" s="6" t="n">
        <v>2745</v>
      </c>
      <c r="J59" s="6" t="n">
        <v>552</v>
      </c>
      <c r="M59" s="6">
        <f>SUM(I59:K59)</f>
        <v>3297</v>
      </c>
      <c r="N59" s="7">
        <f>Parameters!$B$7-G59</f>
        <v>10</v>
      </c>
      <c r="O59" t="str">
        <f>IF(N59&lt;=7,"0-7 days",IF(N59&lt;=14,"8-14 days",IF(N59&lt;=30,"15-30 days","Over 30 days")))</f>
        <v>8-14 days</v>
      </c>
      <c r="P59" t="inlineStr">
        <is>
          <t>Not received</t>
        </is>
      </c>
    </row>
    <row r="60">
      <c r="A60" t="inlineStr">
        <is>
          <t>LFL-1047404</t>
        </is>
      </c>
      <c r="B60" t="inlineStr">
        <is>
          <t>Sable Creek Freight Partners LLC</t>
        </is>
      </c>
      <c r="C60" t="inlineStr">
        <is>
          <t>Gary, IN</t>
        </is>
      </c>
      <c r="D60" t="inlineStr">
        <is>
          <t>Charlotte, NC</t>
        </is>
      </c>
      <c r="E60" t="inlineStr">
        <is>
          <t>Dry van 53 ft</t>
        </is>
      </c>
      <c r="F60" s="23" t="n">
        <v>46315</v>
      </c>
      <c r="G60" s="23" t="n">
        <v>46317</v>
      </c>
      <c r="H60" s="5" t="n">
        <v>742</v>
      </c>
      <c r="I60" s="6" t="n">
        <v>1700</v>
      </c>
      <c r="J60" s="6" t="n">
        <v>349</v>
      </c>
      <c r="M60" s="6">
        <f>SUM(I60:K60)</f>
        <v>2049</v>
      </c>
      <c r="N60" s="7">
        <f>Parameters!$B$7-G60</f>
        <v>9</v>
      </c>
      <c r="O60" t="str">
        <f>IF(N60&lt;=7,"0-7 days",IF(N60&lt;=14,"8-14 days",IF(N60&lt;=30,"15-30 days","Over 30 days")))</f>
        <v>8-14 days</v>
      </c>
      <c r="P60" t="inlineStr">
        <is>
          <t>Not received</t>
        </is>
      </c>
    </row>
    <row r="61">
      <c r="A61" t="inlineStr">
        <is>
          <t>LFL-1047433</t>
        </is>
      </c>
      <c r="B61" t="inlineStr">
        <is>
          <t>Sable Creek Freight Partners LLC</t>
        </is>
      </c>
      <c r="C61" t="inlineStr">
        <is>
          <t>Bolingbrook, IL</t>
        </is>
      </c>
      <c r="D61" t="inlineStr">
        <is>
          <t>Atlanta, GA</t>
        </is>
      </c>
      <c r="E61" t="inlineStr">
        <is>
          <t>Reefer 53 ft</t>
        </is>
      </c>
      <c r="F61" s="23" t="n">
        <v>46316</v>
      </c>
      <c r="G61" s="23" t="n">
        <v>46318</v>
      </c>
      <c r="H61" s="5" t="n">
        <v>735</v>
      </c>
      <c r="I61" s="6" t="n">
        <v>1885</v>
      </c>
      <c r="J61" s="6" t="n">
        <v>345</v>
      </c>
      <c r="M61" s="6">
        <f>SUM(I61:K61)</f>
        <v>2230</v>
      </c>
      <c r="N61" s="7">
        <f>Parameters!$B$7-G61</f>
        <v>8</v>
      </c>
      <c r="O61" t="str">
        <f>IF(N61&lt;=7,"0-7 days",IF(N61&lt;=14,"8-14 days",IF(N61&lt;=30,"15-30 days","Over 30 days")))</f>
        <v>8-14 days</v>
      </c>
      <c r="P61" t="inlineStr">
        <is>
          <t>Not received</t>
        </is>
      </c>
    </row>
    <row r="62">
      <c r="A62" t="inlineStr">
        <is>
          <t>LFL-1047547</t>
        </is>
      </c>
      <c r="B62" t="inlineStr">
        <is>
          <t>Sable Creek Freight Partners LLC</t>
        </is>
      </c>
      <c r="C62" t="inlineStr">
        <is>
          <t>Joliet, IL</t>
        </is>
      </c>
      <c r="D62" t="inlineStr">
        <is>
          <t>Orlando, FL</t>
        </is>
      </c>
      <c r="E62" t="inlineStr">
        <is>
          <t>Reefer 53 ft</t>
        </is>
      </c>
      <c r="F62" s="23" t="n">
        <v>46318</v>
      </c>
      <c r="G62" s="23" t="n">
        <v>46321</v>
      </c>
      <c r="H62" s="5" t="n">
        <v>1160</v>
      </c>
      <c r="I62" s="6" t="n">
        <v>2695</v>
      </c>
      <c r="J62" s="6" t="n">
        <v>545</v>
      </c>
      <c r="M62" s="6">
        <f>SUM(I62:K62)</f>
        <v>3240</v>
      </c>
      <c r="N62" s="7">
        <f>Parameters!$B$7-G62</f>
        <v>5</v>
      </c>
      <c r="O62" t="str">
        <f>IF(N62&lt;=7,"0-7 days",IF(N62&lt;=14,"8-14 days",IF(N62&lt;=30,"15-30 days","Over 30 days")))</f>
        <v>0-7 days</v>
      </c>
      <c r="P62" t="inlineStr">
        <is>
          <t>Not received</t>
        </is>
      </c>
    </row>
    <row r="63">
      <c r="A63" t="inlineStr">
        <is>
          <t>LFL-1047601</t>
        </is>
      </c>
      <c r="B63" t="inlineStr">
        <is>
          <t>Sable Creek Freight Partners LLC</t>
        </is>
      </c>
      <c r="C63" t="inlineStr">
        <is>
          <t>Gary, IN</t>
        </is>
      </c>
      <c r="D63" t="inlineStr">
        <is>
          <t>Atlanta, GA</t>
        </is>
      </c>
      <c r="E63" t="inlineStr">
        <is>
          <t>Dry van 53 ft</t>
        </is>
      </c>
      <c r="F63" s="23" t="n">
        <v>46319</v>
      </c>
      <c r="G63" s="23" t="n">
        <v>46321</v>
      </c>
      <c r="H63" s="5" t="n">
        <v>688</v>
      </c>
      <c r="I63" s="6" t="n">
        <v>1715</v>
      </c>
      <c r="J63" s="6" t="n">
        <v>323</v>
      </c>
      <c r="K63" s="6" t="n">
        <v>100</v>
      </c>
      <c r="L63" t="inlineStr">
        <is>
          <t>Detention 2 hr</t>
        </is>
      </c>
      <c r="M63" s="6">
        <f>SUM(I63:K63)</f>
        <v>2138</v>
      </c>
      <c r="N63" s="7">
        <f>Parameters!$B$7-G63</f>
        <v>5</v>
      </c>
      <c r="O63" t="str">
        <f>IF(N63&lt;=7,"0-7 days",IF(N63&lt;=14,"8-14 days",IF(N63&lt;=30,"15-30 days","Over 30 days")))</f>
        <v>0-7 days</v>
      </c>
      <c r="P63" t="inlineStr">
        <is>
          <t>Not received</t>
        </is>
      </c>
    </row>
    <row r="64">
      <c r="A64" t="inlineStr">
        <is>
          <t>LFL-1047545</t>
        </is>
      </c>
      <c r="B64" t="inlineStr">
        <is>
          <t>Sable Creek Freight Partners LLC</t>
        </is>
      </c>
      <c r="C64" t="inlineStr">
        <is>
          <t>Elk Grove Village, IL</t>
        </is>
      </c>
      <c r="D64" t="inlineStr">
        <is>
          <t>Jacksonville, FL</t>
        </is>
      </c>
      <c r="E64" t="inlineStr">
        <is>
          <t>Reefer 53 ft</t>
        </is>
      </c>
      <c r="F64" s="23" t="n">
        <v>46318</v>
      </c>
      <c r="G64" s="23" t="n">
        <v>46322</v>
      </c>
      <c r="H64" s="5" t="n">
        <v>1060</v>
      </c>
      <c r="I64" s="6" t="n">
        <v>2510</v>
      </c>
      <c r="J64" s="6" t="n">
        <v>498</v>
      </c>
      <c r="M64" s="6">
        <f>SUM(I64:K64)</f>
        <v>3008</v>
      </c>
      <c r="N64" s="7">
        <f>Parameters!$B$7-G64</f>
        <v>4</v>
      </c>
      <c r="O64" t="str">
        <f>IF(N64&lt;=7,"0-7 days",IF(N64&lt;=14,"8-14 days",IF(N64&lt;=30,"15-30 days","Over 30 days")))</f>
        <v>0-7 days</v>
      </c>
      <c r="P64" t="inlineStr">
        <is>
          <t>Not received</t>
        </is>
      </c>
    </row>
    <row r="65">
      <c r="A65" t="inlineStr">
        <is>
          <t>LFL-1047550</t>
        </is>
      </c>
      <c r="B65" t="inlineStr">
        <is>
          <t>Sable Creek Freight Partners LLC</t>
        </is>
      </c>
      <c r="C65" t="inlineStr">
        <is>
          <t>Romeoville, IL</t>
        </is>
      </c>
      <c r="D65" t="inlineStr">
        <is>
          <t>Tampa, FL</t>
        </is>
      </c>
      <c r="E65" t="inlineStr">
        <is>
          <t>Reefer 53 ft</t>
        </is>
      </c>
      <c r="F65" s="23" t="n">
        <v>46318</v>
      </c>
      <c r="G65" s="23" t="n">
        <v>46323</v>
      </c>
      <c r="H65" s="5" t="n">
        <v>1175</v>
      </c>
      <c r="I65" s="6" t="n">
        <v>2720</v>
      </c>
      <c r="J65" s="6" t="n">
        <v>552</v>
      </c>
      <c r="K65" s="6" t="n">
        <v>265</v>
      </c>
      <c r="L65" t="inlineStr">
        <is>
          <t>Lumper</t>
        </is>
      </c>
      <c r="M65" s="6">
        <f>SUM(I65:K65)</f>
        <v>3537</v>
      </c>
      <c r="N65" s="7">
        <f>Parameters!$B$7-G65</f>
        <v>3</v>
      </c>
      <c r="O65" t="str">
        <f>IF(N65&lt;=7,"0-7 days",IF(N65&lt;=14,"8-14 days",IF(N65&lt;=30,"15-30 days","Over 30 days")))</f>
        <v>0-7 days</v>
      </c>
      <c r="P65" t="inlineStr">
        <is>
          <t>Not received</t>
        </is>
      </c>
    </row>
    <row r="66">
      <c r="A66" t="inlineStr">
        <is>
          <t>LFL-1047713</t>
        </is>
      </c>
      <c r="B66" t="inlineStr">
        <is>
          <t>Sable Creek Freight Partners LLC</t>
        </is>
      </c>
      <c r="C66" t="inlineStr">
        <is>
          <t>Gary, IN</t>
        </is>
      </c>
      <c r="D66" t="inlineStr">
        <is>
          <t>Charlotte, NC</t>
        </is>
      </c>
      <c r="E66" t="inlineStr">
        <is>
          <t>Dry van 53 ft</t>
        </is>
      </c>
      <c r="F66" s="23" t="n">
        <v>46322</v>
      </c>
      <c r="G66" s="23" t="n">
        <v>46324</v>
      </c>
      <c r="H66" s="5" t="n">
        <v>742</v>
      </c>
      <c r="I66" s="6" t="n">
        <v>1665</v>
      </c>
      <c r="J66" s="6" t="n">
        <v>349</v>
      </c>
      <c r="M66" s="6">
        <f>SUM(I66:K66)</f>
        <v>2014</v>
      </c>
      <c r="N66" s="7">
        <f>Parameters!$B$7-G66</f>
        <v>2</v>
      </c>
      <c r="O66" t="str">
        <f>IF(N66&lt;=7,"0-7 days",IF(N66&lt;=14,"8-14 days",IF(N66&lt;=30,"15-30 days","Over 30 days")))</f>
        <v>0-7 days</v>
      </c>
      <c r="P66" t="inlineStr">
        <is>
          <t>Not received</t>
        </is>
      </c>
    </row>
    <row r="67">
      <c r="A67" t="inlineStr">
        <is>
          <t>LFL-1047764</t>
        </is>
      </c>
      <c r="B67" t="inlineStr">
        <is>
          <t>Sable Creek Freight Partners LLC</t>
        </is>
      </c>
      <c r="C67" t="inlineStr">
        <is>
          <t>Bolingbrook, IL</t>
        </is>
      </c>
      <c r="D67" t="inlineStr">
        <is>
          <t>Atlanta, GA</t>
        </is>
      </c>
      <c r="E67" t="inlineStr">
        <is>
          <t>Reefer 53 ft</t>
        </is>
      </c>
      <c r="F67" s="23" t="n">
        <v>46323</v>
      </c>
      <c r="G67" s="23" t="n">
        <v>46325</v>
      </c>
      <c r="H67" s="5" t="n">
        <v>735</v>
      </c>
      <c r="I67" s="6" t="n">
        <v>1845</v>
      </c>
      <c r="J67" s="6" t="n">
        <v>345</v>
      </c>
      <c r="M67" s="6">
        <f>SUM(I67:K67)</f>
        <v>2190</v>
      </c>
      <c r="N67" s="7">
        <f>Parameters!$B$7-G67</f>
        <v>1</v>
      </c>
      <c r="O67" t="str">
        <f>IF(N67&lt;=7,"0-7 days",IF(N67&lt;=14,"8-14 days",IF(N67&lt;=30,"15-30 days","Over 30 days")))</f>
        <v>0-7 days</v>
      </c>
      <c r="P67" t="inlineStr">
        <is>
          <t>Not received</t>
        </is>
      </c>
    </row>
    <row r="68">
      <c r="A68" t="inlineStr">
        <is>
          <t>LFL-1047765</t>
        </is>
      </c>
      <c r="B68" t="inlineStr">
        <is>
          <t>Sable Creek Freight Partners LLC</t>
        </is>
      </c>
      <c r="C68" t="inlineStr">
        <is>
          <t>Gary, IN</t>
        </is>
      </c>
      <c r="D68" t="inlineStr">
        <is>
          <t>Atlanta, GA</t>
        </is>
      </c>
      <c r="E68" t="inlineStr">
        <is>
          <t>Dry van 53 ft</t>
        </is>
      </c>
      <c r="F68" s="23" t="n">
        <v>46323</v>
      </c>
      <c r="G68" s="23" t="n">
        <v>46325</v>
      </c>
      <c r="H68" s="5" t="n">
        <v>688</v>
      </c>
      <c r="I68" s="6" t="n">
        <v>1730</v>
      </c>
      <c r="J68" s="6" t="n">
        <v>323</v>
      </c>
      <c r="M68" s="6">
        <f>SUM(I68:K68)</f>
        <v>2053</v>
      </c>
      <c r="N68" s="7">
        <f>Parameters!$B$7-G68</f>
        <v>1</v>
      </c>
      <c r="O68" t="str">
        <f>IF(N68&lt;=7,"0-7 days",IF(N68&lt;=14,"8-14 days",IF(N68&lt;=30,"15-30 days","Over 30 days")))</f>
        <v>0-7 days</v>
      </c>
      <c r="P68" t="inlineStr">
        <is>
          <t>Not received</t>
        </is>
      </c>
    </row>
    <row r="69">
      <c r="A69" t="inlineStr">
        <is>
          <t>LFL-1047021</t>
        </is>
      </c>
      <c r="B69" t="inlineStr">
        <is>
          <t>Larkfield Transport Brokerage LLC</t>
        </is>
      </c>
      <c r="C69" t="inlineStr">
        <is>
          <t>Gary, IN</t>
        </is>
      </c>
      <c r="D69" t="inlineStr">
        <is>
          <t>Denver, CO</t>
        </is>
      </c>
      <c r="E69" t="inlineStr">
        <is>
          <t>Dry van 53 ft</t>
        </is>
      </c>
      <c r="F69" s="23" t="n">
        <v>46307</v>
      </c>
      <c r="G69" s="23" t="n">
        <v>46309</v>
      </c>
      <c r="H69" s="5" t="n">
        <v>1024</v>
      </c>
      <c r="I69" s="6" t="n">
        <v>2145</v>
      </c>
      <c r="J69" s="6" t="n">
        <v>461</v>
      </c>
      <c r="M69" s="6">
        <f>SUM(I69:K69)</f>
        <v>2606</v>
      </c>
      <c r="N69" s="7">
        <f>Parameters!$B$7-G69</f>
        <v>17</v>
      </c>
      <c r="O69" t="str">
        <f>IF(N69&lt;=7,"0-7 days",IF(N69&lt;=14,"8-14 days",IF(N69&lt;=30,"15-30 days","Over 30 days")))</f>
        <v>15-30 days</v>
      </c>
      <c r="P69" t="inlineStr">
        <is>
          <t>Received, on hold</t>
        </is>
      </c>
      <c r="Q69" t="inlineStr">
        <is>
          <t>Invoice received without a signed POD. Requested from broker 10/20.</t>
        </is>
      </c>
    </row>
    <row r="70">
      <c r="A70" t="inlineStr">
        <is>
          <t>LFL-1047122</t>
        </is>
      </c>
      <c r="B70" t="inlineStr">
        <is>
          <t>Larkfield Transport Brokerage LLC</t>
        </is>
      </c>
      <c r="C70" t="inlineStr">
        <is>
          <t>Gary, IN</t>
        </is>
      </c>
      <c r="D70" t="inlineStr">
        <is>
          <t>Minneapolis, MN</t>
        </is>
      </c>
      <c r="E70" t="inlineStr">
        <is>
          <t>Dry van 53 ft</t>
        </is>
      </c>
      <c r="F70" s="23" t="n">
        <v>46309</v>
      </c>
      <c r="G70" s="23" t="n">
        <v>46310</v>
      </c>
      <c r="H70" s="5" t="n">
        <v>433</v>
      </c>
      <c r="I70" s="6" t="n">
        <v>1175</v>
      </c>
      <c r="J70" s="6" t="n">
        <v>195</v>
      </c>
      <c r="M70" s="6">
        <f>SUM(I70:K70)</f>
        <v>1370</v>
      </c>
      <c r="N70" s="7">
        <f>Parameters!$B$7-G70</f>
        <v>16</v>
      </c>
      <c r="O70" t="str">
        <f>IF(N70&lt;=7,"0-7 days",IF(N70&lt;=14,"8-14 days",IF(N70&lt;=30,"15-30 days","Over 30 days")))</f>
        <v>15-30 days</v>
      </c>
      <c r="P70" t="inlineStr">
        <is>
          <t>Not received</t>
        </is>
      </c>
    </row>
    <row r="71">
      <c r="A71" t="inlineStr">
        <is>
          <t>LFL-1047207</t>
        </is>
      </c>
      <c r="B71" t="inlineStr">
        <is>
          <t>Larkfield Transport Brokerage LLC</t>
        </is>
      </c>
      <c r="C71" t="inlineStr">
        <is>
          <t>Romeoville, IL</t>
        </is>
      </c>
      <c r="D71" t="inlineStr">
        <is>
          <t>Omaha, NE</t>
        </is>
      </c>
      <c r="E71" t="inlineStr">
        <is>
          <t>Dry van 53 ft</t>
        </is>
      </c>
      <c r="F71" s="23" t="n">
        <v>46311</v>
      </c>
      <c r="G71" s="23" t="n">
        <v>46314</v>
      </c>
      <c r="H71" s="5" t="n">
        <v>465</v>
      </c>
      <c r="I71" s="6" t="n">
        <v>1170</v>
      </c>
      <c r="J71" s="6" t="n">
        <v>209</v>
      </c>
      <c r="M71" s="6">
        <f>SUM(I71:K71)</f>
        <v>1379</v>
      </c>
      <c r="N71" s="7">
        <f>Parameters!$B$7-G71</f>
        <v>12</v>
      </c>
      <c r="O71" t="str">
        <f>IF(N71&lt;=7,"0-7 days",IF(N71&lt;=14,"8-14 days",IF(N71&lt;=30,"15-30 days","Over 30 days")))</f>
        <v>8-14 days</v>
      </c>
      <c r="P71" t="inlineStr">
        <is>
          <t>Not received</t>
        </is>
      </c>
    </row>
    <row r="72">
      <c r="A72" t="inlineStr">
        <is>
          <t>LFL-1047347</t>
        </is>
      </c>
      <c r="B72" t="inlineStr">
        <is>
          <t>Larkfield Transport Brokerage LLC</t>
        </is>
      </c>
      <c r="C72" t="inlineStr">
        <is>
          <t>Gary, IN</t>
        </is>
      </c>
      <c r="D72" t="inlineStr">
        <is>
          <t>Kansas City, MO</t>
        </is>
      </c>
      <c r="E72" t="inlineStr">
        <is>
          <t>Dry van 53 ft</t>
        </is>
      </c>
      <c r="F72" s="23" t="n">
        <v>46314</v>
      </c>
      <c r="G72" s="23" t="n">
        <v>46315</v>
      </c>
      <c r="H72" s="5" t="n">
        <v>531</v>
      </c>
      <c r="I72" s="6" t="n">
        <v>1315</v>
      </c>
      <c r="J72" s="6" t="n">
        <v>239</v>
      </c>
      <c r="M72" s="6">
        <f>SUM(I72:K72)</f>
        <v>1554</v>
      </c>
      <c r="N72" s="7">
        <f>Parameters!$B$7-G72</f>
        <v>11</v>
      </c>
      <c r="O72" t="str">
        <f>IF(N72&lt;=7,"0-7 days",IF(N72&lt;=14,"8-14 days",IF(N72&lt;=30,"15-30 days","Over 30 days")))</f>
        <v>8-14 days</v>
      </c>
      <c r="P72" t="inlineStr">
        <is>
          <t>Not received</t>
        </is>
      </c>
    </row>
    <row r="73">
      <c r="A73" t="inlineStr">
        <is>
          <t>LFL-1047353</t>
        </is>
      </c>
      <c r="B73" t="inlineStr">
        <is>
          <t>Larkfield Transport Brokerage LLC</t>
        </is>
      </c>
      <c r="C73" t="inlineStr">
        <is>
          <t>Gary, IN</t>
        </is>
      </c>
      <c r="D73" t="inlineStr">
        <is>
          <t>Denver, CO</t>
        </is>
      </c>
      <c r="E73" t="inlineStr">
        <is>
          <t>Dry van 53 ft</t>
        </is>
      </c>
      <c r="F73" s="23" t="n">
        <v>46314</v>
      </c>
      <c r="G73" s="23" t="n">
        <v>46316</v>
      </c>
      <c r="H73" s="5" t="n">
        <v>1024</v>
      </c>
      <c r="I73" s="6" t="n">
        <v>2170</v>
      </c>
      <c r="J73" s="6" t="n">
        <v>461</v>
      </c>
      <c r="M73" s="6">
        <f>SUM(I73:K73)</f>
        <v>2631</v>
      </c>
      <c r="N73" s="7">
        <f>Parameters!$B$7-G73</f>
        <v>10</v>
      </c>
      <c r="O73" t="str">
        <f>IF(N73&lt;=7,"0-7 days",IF(N73&lt;=14,"8-14 days",IF(N73&lt;=30,"15-30 days","Over 30 days")))</f>
        <v>8-14 days</v>
      </c>
      <c r="P73" t="inlineStr">
        <is>
          <t>Not received</t>
        </is>
      </c>
    </row>
    <row r="74">
      <c r="A74" t="inlineStr">
        <is>
          <t>LFL-1047368</t>
        </is>
      </c>
      <c r="B74" t="inlineStr">
        <is>
          <t>Larkfield Transport Brokerage LLC</t>
        </is>
      </c>
      <c r="C74" t="inlineStr">
        <is>
          <t>Bolingbrook, IL</t>
        </is>
      </c>
      <c r="D74" t="inlineStr">
        <is>
          <t>Salt Lake City, UT</t>
        </is>
      </c>
      <c r="E74" t="inlineStr">
        <is>
          <t>Dry van 53 ft</t>
        </is>
      </c>
      <c r="F74" s="23" t="n">
        <v>46314</v>
      </c>
      <c r="G74" s="23" t="n">
        <v>46317</v>
      </c>
      <c r="H74" s="5" t="n">
        <v>1390</v>
      </c>
      <c r="I74" s="6" t="n">
        <v>2960</v>
      </c>
      <c r="J74" s="6" t="n">
        <v>626</v>
      </c>
      <c r="M74" s="6">
        <f>SUM(I74:K74)</f>
        <v>3586</v>
      </c>
      <c r="N74" s="7">
        <f>Parameters!$B$7-G74</f>
        <v>9</v>
      </c>
      <c r="O74" t="str">
        <f>IF(N74&lt;=7,"0-7 days",IF(N74&lt;=14,"8-14 days",IF(N74&lt;=30,"15-30 days","Over 30 days")))</f>
        <v>8-14 days</v>
      </c>
      <c r="P74" t="inlineStr">
        <is>
          <t>Not received</t>
        </is>
      </c>
    </row>
    <row r="75">
      <c r="A75" t="inlineStr">
        <is>
          <t>LFL-1047451</t>
        </is>
      </c>
      <c r="B75" t="inlineStr">
        <is>
          <t>Larkfield Transport Brokerage LLC</t>
        </is>
      </c>
      <c r="C75" t="inlineStr">
        <is>
          <t>Gary, IN</t>
        </is>
      </c>
      <c r="D75" t="inlineStr">
        <is>
          <t>Minneapolis, MN</t>
        </is>
      </c>
      <c r="E75" t="inlineStr">
        <is>
          <t>Dry van 53 ft</t>
        </is>
      </c>
      <c r="F75" s="23" t="n">
        <v>46316</v>
      </c>
      <c r="G75" s="23" t="n">
        <v>46317</v>
      </c>
      <c r="H75" s="5" t="n">
        <v>433</v>
      </c>
      <c r="I75" s="6" t="n">
        <v>1250</v>
      </c>
      <c r="J75" s="6" t="n">
        <v>195</v>
      </c>
      <c r="M75" s="6">
        <f>SUM(I75:K75)</f>
        <v>1445</v>
      </c>
      <c r="N75" s="7">
        <f>Parameters!$B$7-G75</f>
        <v>9</v>
      </c>
      <c r="O75" t="str">
        <f>IF(N75&lt;=7,"0-7 days",IF(N75&lt;=14,"8-14 days",IF(N75&lt;=30,"15-30 days","Over 30 days")))</f>
        <v>8-14 days</v>
      </c>
      <c r="P75" t="inlineStr">
        <is>
          <t>Not received</t>
        </is>
      </c>
    </row>
    <row r="76">
      <c r="A76" t="inlineStr">
        <is>
          <t>LFL-1047497</t>
        </is>
      </c>
      <c r="B76" t="inlineStr">
        <is>
          <t>Larkfield Transport Brokerage LLC</t>
        </is>
      </c>
      <c r="C76" t="inlineStr">
        <is>
          <t>Gary, IN</t>
        </is>
      </c>
      <c r="D76" t="inlineStr">
        <is>
          <t>Des Moines, IA</t>
        </is>
      </c>
      <c r="E76" t="inlineStr">
        <is>
          <t>Dry van 53 ft</t>
        </is>
      </c>
      <c r="F76" s="23" t="n">
        <v>46317</v>
      </c>
      <c r="G76" s="23" t="n">
        <v>46318</v>
      </c>
      <c r="H76" s="5" t="n">
        <v>360</v>
      </c>
      <c r="I76" s="6" t="n">
        <v>1005</v>
      </c>
      <c r="J76" s="6" t="n">
        <v>162</v>
      </c>
      <c r="K76" s="6" t="n">
        <v>125</v>
      </c>
      <c r="L76" t="inlineStr">
        <is>
          <t>Stop-off (1)</t>
        </is>
      </c>
      <c r="M76" s="6">
        <f>SUM(I76:K76)</f>
        <v>1292</v>
      </c>
      <c r="N76" s="7">
        <f>Parameters!$B$7-G76</f>
        <v>8</v>
      </c>
      <c r="O76" t="str">
        <f>IF(N76&lt;=7,"0-7 days",IF(N76&lt;=14,"8-14 days",IF(N76&lt;=30,"15-30 days","Over 30 days")))</f>
        <v>8-14 days</v>
      </c>
      <c r="P76" t="inlineStr">
        <is>
          <t>Not received</t>
        </is>
      </c>
    </row>
    <row r="77">
      <c r="A77" t="inlineStr">
        <is>
          <t>LFL-1047595</t>
        </is>
      </c>
      <c r="B77" t="inlineStr">
        <is>
          <t>Larkfield Transport Brokerage LLC</t>
        </is>
      </c>
      <c r="C77" t="inlineStr">
        <is>
          <t>Gary, IN</t>
        </is>
      </c>
      <c r="D77" t="inlineStr">
        <is>
          <t>Denver, CO</t>
        </is>
      </c>
      <c r="E77" t="inlineStr">
        <is>
          <t>Dry van 53 ft</t>
        </is>
      </c>
      <c r="F77" s="23" t="n">
        <v>46319</v>
      </c>
      <c r="G77" s="23" t="n">
        <v>46321</v>
      </c>
      <c r="H77" s="5" t="n">
        <v>1024</v>
      </c>
      <c r="I77" s="6" t="n">
        <v>2075</v>
      </c>
      <c r="J77" s="6" t="n">
        <v>461</v>
      </c>
      <c r="M77" s="6">
        <f>SUM(I77:K77)</f>
        <v>2536</v>
      </c>
      <c r="N77" s="7">
        <f>Parameters!$B$7-G77</f>
        <v>5</v>
      </c>
      <c r="O77" t="str">
        <f>IF(N77&lt;=7,"0-7 days",IF(N77&lt;=14,"8-14 days",IF(N77&lt;=30,"15-30 days","Over 30 days")))</f>
        <v>0-7 days</v>
      </c>
      <c r="P77" t="inlineStr">
        <is>
          <t>Not received</t>
        </is>
      </c>
    </row>
    <row r="78">
      <c r="A78" t="inlineStr">
        <is>
          <t>LFL-1047664</t>
        </is>
      </c>
      <c r="B78" t="inlineStr">
        <is>
          <t>Larkfield Transport Brokerage LLC</t>
        </is>
      </c>
      <c r="C78" t="inlineStr">
        <is>
          <t>Gary, IN</t>
        </is>
      </c>
      <c r="D78" t="inlineStr">
        <is>
          <t>Minneapolis, MN</t>
        </is>
      </c>
      <c r="E78" t="inlineStr">
        <is>
          <t>Dry van 53 ft</t>
        </is>
      </c>
      <c r="F78" s="23" t="n">
        <v>46321</v>
      </c>
      <c r="G78" s="23" t="n">
        <v>46322</v>
      </c>
      <c r="H78" s="5" t="n">
        <v>433</v>
      </c>
      <c r="I78" s="6" t="n">
        <v>1240</v>
      </c>
      <c r="J78" s="6" t="n">
        <v>195</v>
      </c>
      <c r="M78" s="6">
        <f>SUM(I78:K78)</f>
        <v>1435</v>
      </c>
      <c r="N78" s="7">
        <f>Parameters!$B$7-G78</f>
        <v>4</v>
      </c>
      <c r="O78" t="str">
        <f>IF(N78&lt;=7,"0-7 days",IF(N78&lt;=14,"8-14 days",IF(N78&lt;=30,"15-30 days","Over 30 days")))</f>
        <v>0-7 days</v>
      </c>
      <c r="P78" t="inlineStr">
        <is>
          <t>Not received</t>
        </is>
      </c>
    </row>
    <row r="79">
      <c r="A79" t="inlineStr">
        <is>
          <t>LFL-1047706</t>
        </is>
      </c>
      <c r="B79" t="inlineStr">
        <is>
          <t>Larkfield Transport Brokerage LLC</t>
        </is>
      </c>
      <c r="C79" t="inlineStr">
        <is>
          <t>Romeoville, IL</t>
        </is>
      </c>
      <c r="D79" t="inlineStr">
        <is>
          <t>Omaha, NE</t>
        </is>
      </c>
      <c r="E79" t="inlineStr">
        <is>
          <t>Dry van 53 ft</t>
        </is>
      </c>
      <c r="F79" s="23" t="n">
        <v>46322</v>
      </c>
      <c r="G79" s="23" t="n">
        <v>46323</v>
      </c>
      <c r="H79" s="5" t="n">
        <v>465</v>
      </c>
      <c r="I79" s="6" t="n">
        <v>1095</v>
      </c>
      <c r="J79" s="6" t="n">
        <v>209</v>
      </c>
      <c r="M79" s="6">
        <f>SUM(I79:K79)</f>
        <v>1304</v>
      </c>
      <c r="N79" s="7">
        <f>Parameters!$B$7-G79</f>
        <v>3</v>
      </c>
      <c r="O79" t="str">
        <f>IF(N79&lt;=7,"0-7 days",IF(N79&lt;=14,"8-14 days",IF(N79&lt;=30,"15-30 days","Over 30 days")))</f>
        <v>0-7 days</v>
      </c>
      <c r="P79" t="inlineStr">
        <is>
          <t>Not received</t>
        </is>
      </c>
    </row>
    <row r="80">
      <c r="A80" t="inlineStr">
        <is>
          <t>LFL-1047677</t>
        </is>
      </c>
      <c r="B80" t="inlineStr">
        <is>
          <t>Larkfield Transport Brokerage LLC</t>
        </is>
      </c>
      <c r="C80" t="inlineStr">
        <is>
          <t>Bolingbrook, IL</t>
        </is>
      </c>
      <c r="D80" t="inlineStr">
        <is>
          <t>Salt Lake City, UT</t>
        </is>
      </c>
      <c r="E80" t="inlineStr">
        <is>
          <t>Dry van 53 ft</t>
        </is>
      </c>
      <c r="F80" s="23" t="n">
        <v>46321</v>
      </c>
      <c r="G80" s="23" t="n">
        <v>46324</v>
      </c>
      <c r="H80" s="5" t="n">
        <v>1390</v>
      </c>
      <c r="I80" s="6" t="n">
        <v>2925</v>
      </c>
      <c r="J80" s="6" t="n">
        <v>626</v>
      </c>
      <c r="K80" s="6" t="n">
        <v>100</v>
      </c>
      <c r="L80" t="inlineStr">
        <is>
          <t>Detention 2 hr</t>
        </is>
      </c>
      <c r="M80" s="6">
        <f>SUM(I80:K80)</f>
        <v>3651</v>
      </c>
      <c r="N80" s="7">
        <f>Parameters!$B$7-G80</f>
        <v>2</v>
      </c>
      <c r="O80" t="str">
        <f>IF(N80&lt;=7,"0-7 days",IF(N80&lt;=14,"8-14 days",IF(N80&lt;=30,"15-30 days","Over 30 days")))</f>
        <v>0-7 days</v>
      </c>
      <c r="P80" t="inlineStr">
        <is>
          <t>Not received</t>
        </is>
      </c>
    </row>
    <row r="81">
      <c r="A81" t="inlineStr">
        <is>
          <t>LFL-1047780</t>
        </is>
      </c>
      <c r="B81" t="inlineStr">
        <is>
          <t>Larkfield Transport Brokerage LLC</t>
        </is>
      </c>
      <c r="C81" t="inlineStr">
        <is>
          <t>Gary, IN</t>
        </is>
      </c>
      <c r="D81" t="inlineStr">
        <is>
          <t>Kansas City, MO</t>
        </is>
      </c>
      <c r="E81" t="inlineStr">
        <is>
          <t>Dry van 53 ft</t>
        </is>
      </c>
      <c r="F81" s="23" t="n">
        <v>46323</v>
      </c>
      <c r="G81" s="23" t="n">
        <v>46324</v>
      </c>
      <c r="H81" s="5" t="n">
        <v>531</v>
      </c>
      <c r="I81" s="6" t="n">
        <v>1325</v>
      </c>
      <c r="J81" s="6" t="n">
        <v>239</v>
      </c>
      <c r="M81" s="6">
        <f>SUM(I81:K81)</f>
        <v>1564</v>
      </c>
      <c r="N81" s="7">
        <f>Parameters!$B$7-G81</f>
        <v>2</v>
      </c>
      <c r="O81" t="str">
        <f>IF(N81&lt;=7,"0-7 days",IF(N81&lt;=14,"8-14 days",IF(N81&lt;=30,"15-30 days","Over 30 days")))</f>
        <v>0-7 days</v>
      </c>
      <c r="P81" t="inlineStr">
        <is>
          <t>Not received</t>
        </is>
      </c>
    </row>
    <row r="82">
      <c r="A82" t="inlineStr">
        <is>
          <t>LFL-1047830</t>
        </is>
      </c>
      <c r="B82" t="inlineStr">
        <is>
          <t>Larkfield Transport Brokerage LLC</t>
        </is>
      </c>
      <c r="C82" t="inlineStr">
        <is>
          <t>Gary, IN</t>
        </is>
      </c>
      <c r="D82" t="inlineStr">
        <is>
          <t>Des Moines, IA</t>
        </is>
      </c>
      <c r="E82" t="inlineStr">
        <is>
          <t>Dry van 53 ft</t>
        </is>
      </c>
      <c r="F82" s="23" t="n">
        <v>46324</v>
      </c>
      <c r="G82" s="23" t="n">
        <v>46325</v>
      </c>
      <c r="H82" s="5" t="n">
        <v>360</v>
      </c>
      <c r="I82" s="6" t="n">
        <v>1000</v>
      </c>
      <c r="J82" s="6" t="n">
        <v>162</v>
      </c>
      <c r="M82" s="6">
        <f>SUM(I82:K82)</f>
        <v>1162</v>
      </c>
      <c r="N82" s="7">
        <f>Parameters!$B$7-G82</f>
        <v>1</v>
      </c>
      <c r="O82" t="str">
        <f>IF(N82&lt;=7,"0-7 days",IF(N82&lt;=14,"8-14 days",IF(N82&lt;=30,"15-30 days","Over 30 days")))</f>
        <v>0-7 days</v>
      </c>
      <c r="P82" t="inlineStr">
        <is>
          <t>Not received</t>
        </is>
      </c>
    </row>
    <row r="83">
      <c r="A83" t="inlineStr">
        <is>
          <t>LFL-1047123</t>
        </is>
      </c>
      <c r="B83" t="inlineStr">
        <is>
          <t>Millrace Logistics Group Inc.</t>
        </is>
      </c>
      <c r="C83" t="inlineStr">
        <is>
          <t>Memphis, TN</t>
        </is>
      </c>
      <c r="D83" t="inlineStr">
        <is>
          <t>Jacksonville, FL</t>
        </is>
      </c>
      <c r="E83" t="inlineStr">
        <is>
          <t>Dry van 53 ft</t>
        </is>
      </c>
      <c r="F83" s="23" t="n">
        <v>46309</v>
      </c>
      <c r="G83" s="23" t="n">
        <v>46311</v>
      </c>
      <c r="H83" s="5" t="n">
        <v>693</v>
      </c>
      <c r="I83" s="6" t="n">
        <v>1735</v>
      </c>
      <c r="J83" s="6" t="n">
        <v>319</v>
      </c>
      <c r="M83" s="6">
        <f>SUM(I83:K83)</f>
        <v>2054</v>
      </c>
      <c r="N83" s="7">
        <f>Parameters!$B$7-G83</f>
        <v>15</v>
      </c>
      <c r="O83" t="str">
        <f>IF(N83&lt;=7,"0-7 days",IF(N83&lt;=14,"8-14 days",IF(N83&lt;=30,"15-30 days","Over 30 days")))</f>
        <v>15-30 days</v>
      </c>
      <c r="P83" t="inlineStr">
        <is>
          <t>Not received</t>
        </is>
      </c>
    </row>
    <row r="84">
      <c r="A84" t="inlineStr">
        <is>
          <t>LFL-1047231</t>
        </is>
      </c>
      <c r="B84" t="inlineStr">
        <is>
          <t>Millrace Logistics Group Inc.</t>
        </is>
      </c>
      <c r="C84" t="inlineStr">
        <is>
          <t>Memphis, TN</t>
        </is>
      </c>
      <c r="D84" t="inlineStr">
        <is>
          <t>Atlanta, GA</t>
        </is>
      </c>
      <c r="E84" t="inlineStr">
        <is>
          <t>Dry van 53 ft</t>
        </is>
      </c>
      <c r="F84" s="23" t="n">
        <v>46311</v>
      </c>
      <c r="G84" s="23" t="n">
        <v>46314</v>
      </c>
      <c r="H84" s="5" t="n">
        <v>389</v>
      </c>
      <c r="I84" s="6" t="n">
        <v>1080</v>
      </c>
      <c r="J84" s="6" t="n">
        <v>179</v>
      </c>
      <c r="M84" s="6">
        <f>SUM(I84:K84)</f>
        <v>1259</v>
      </c>
      <c r="N84" s="7">
        <f>Parameters!$B$7-G84</f>
        <v>12</v>
      </c>
      <c r="O84" t="str">
        <f>IF(N84&lt;=7,"0-7 days",IF(N84&lt;=14,"8-14 days",IF(N84&lt;=30,"15-30 days","Over 30 days")))</f>
        <v>8-14 days</v>
      </c>
      <c r="P84" t="inlineStr">
        <is>
          <t>Not received</t>
        </is>
      </c>
    </row>
    <row r="85">
      <c r="A85" t="inlineStr">
        <is>
          <t>LFL-1047364</t>
        </is>
      </c>
      <c r="B85" t="inlineStr">
        <is>
          <t>Millrace Logistics Group Inc.</t>
        </is>
      </c>
      <c r="C85" t="inlineStr">
        <is>
          <t>Memphis, TN</t>
        </is>
      </c>
      <c r="D85" t="inlineStr">
        <is>
          <t>Birmingham, AL</t>
        </is>
      </c>
      <c r="E85" t="inlineStr">
        <is>
          <t>Dry van 53 ft</t>
        </is>
      </c>
      <c r="F85" s="23" t="n">
        <v>46314</v>
      </c>
      <c r="G85" s="23" t="n">
        <v>46315</v>
      </c>
      <c r="H85" s="5" t="n">
        <v>241</v>
      </c>
      <c r="I85" s="6" t="n">
        <v>795</v>
      </c>
      <c r="J85" s="6" t="n">
        <v>111</v>
      </c>
      <c r="M85" s="6">
        <f>SUM(I85:K85)</f>
        <v>906</v>
      </c>
      <c r="N85" s="7">
        <f>Parameters!$B$7-G85</f>
        <v>11</v>
      </c>
      <c r="O85" t="str">
        <f>IF(N85&lt;=7,"0-7 days",IF(N85&lt;=14,"8-14 days",IF(N85&lt;=30,"15-30 days","Over 30 days")))</f>
        <v>8-14 days</v>
      </c>
      <c r="P85" t="inlineStr">
        <is>
          <t>Not received</t>
        </is>
      </c>
    </row>
    <row r="86">
      <c r="A86" t="inlineStr">
        <is>
          <t>LFL-1047371</t>
        </is>
      </c>
      <c r="B86" t="inlineStr">
        <is>
          <t>Millrace Logistics Group Inc.</t>
        </is>
      </c>
      <c r="C86" t="inlineStr">
        <is>
          <t>Memphis, TN</t>
        </is>
      </c>
      <c r="D86" t="inlineStr">
        <is>
          <t>Charlotte, NC</t>
        </is>
      </c>
      <c r="E86" t="inlineStr">
        <is>
          <t>Dry van 53 ft</t>
        </is>
      </c>
      <c r="F86" s="23" t="n">
        <v>46314</v>
      </c>
      <c r="G86" s="23" t="n">
        <v>46316</v>
      </c>
      <c r="H86" s="5" t="n">
        <v>620</v>
      </c>
      <c r="I86" s="6" t="n">
        <v>1490</v>
      </c>
      <c r="J86" s="6" t="n">
        <v>285</v>
      </c>
      <c r="M86" s="6">
        <f>SUM(I86:K86)</f>
        <v>1775</v>
      </c>
      <c r="N86" s="7">
        <f>Parameters!$B$7-G86</f>
        <v>10</v>
      </c>
      <c r="O86" t="str">
        <f>IF(N86&lt;=7,"0-7 days",IF(N86&lt;=14,"8-14 days",IF(N86&lt;=30,"15-30 days","Over 30 days")))</f>
        <v>8-14 days</v>
      </c>
      <c r="P86" t="inlineStr">
        <is>
          <t>Not received</t>
        </is>
      </c>
    </row>
    <row r="87">
      <c r="A87" t="inlineStr">
        <is>
          <t>LFL-1047470</t>
        </is>
      </c>
      <c r="B87" t="inlineStr">
        <is>
          <t>Millrace Logistics Group Inc.</t>
        </is>
      </c>
      <c r="C87" t="inlineStr">
        <is>
          <t>Gary, IN</t>
        </is>
      </c>
      <c r="D87" t="inlineStr">
        <is>
          <t>Nashville, TN</t>
        </is>
      </c>
      <c r="E87" t="inlineStr">
        <is>
          <t>Dry van 53 ft</t>
        </is>
      </c>
      <c r="F87" s="23" t="n">
        <v>46316</v>
      </c>
      <c r="G87" s="23" t="n">
        <v>46317</v>
      </c>
      <c r="H87" s="5" t="n">
        <v>447</v>
      </c>
      <c r="I87" s="6" t="n">
        <v>1270</v>
      </c>
      <c r="J87" s="6" t="n">
        <v>206</v>
      </c>
      <c r="K87" s="6" t="n">
        <v>225</v>
      </c>
      <c r="L87" t="inlineStr">
        <is>
          <t>Lumper</t>
        </is>
      </c>
      <c r="M87" s="6">
        <f>SUM(I87:K87)</f>
        <v>1701</v>
      </c>
      <c r="N87" s="7">
        <f>Parameters!$B$7-G87</f>
        <v>9</v>
      </c>
      <c r="O87" t="str">
        <f>IF(N87&lt;=7,"0-7 days",IF(N87&lt;=14,"8-14 days",IF(N87&lt;=30,"15-30 days","Over 30 days")))</f>
        <v>8-14 days</v>
      </c>
      <c r="P87" t="inlineStr">
        <is>
          <t>Not received</t>
        </is>
      </c>
    </row>
    <row r="88">
      <c r="A88" t="inlineStr">
        <is>
          <t>LFL-1047506</t>
        </is>
      </c>
      <c r="B88" t="inlineStr">
        <is>
          <t>Millrace Logistics Group Inc.</t>
        </is>
      </c>
      <c r="C88" t="inlineStr">
        <is>
          <t>Southaven, MS</t>
        </is>
      </c>
      <c r="D88" t="inlineStr">
        <is>
          <t>Louisville, KY</t>
        </is>
      </c>
      <c r="E88" t="inlineStr">
        <is>
          <t>Dry van 53 ft</t>
        </is>
      </c>
      <c r="F88" s="23" t="n">
        <v>46317</v>
      </c>
      <c r="G88" s="23" t="n">
        <v>46318</v>
      </c>
      <c r="H88" s="5" t="n">
        <v>392</v>
      </c>
      <c r="I88" s="6" t="n">
        <v>1090</v>
      </c>
      <c r="J88" s="6" t="n">
        <v>180</v>
      </c>
      <c r="M88" s="6">
        <f>SUM(I88:K88)</f>
        <v>1270</v>
      </c>
      <c r="N88" s="7">
        <f>Parameters!$B$7-G88</f>
        <v>8</v>
      </c>
      <c r="O88" t="str">
        <f>IF(N88&lt;=7,"0-7 days",IF(N88&lt;=14,"8-14 days",IF(N88&lt;=30,"15-30 days","Over 30 days")))</f>
        <v>8-14 days</v>
      </c>
      <c r="P88" t="inlineStr">
        <is>
          <t>Not received</t>
        </is>
      </c>
    </row>
    <row r="89">
      <c r="A89" t="inlineStr">
        <is>
          <t>LFL-1047554</t>
        </is>
      </c>
      <c r="B89" t="inlineStr">
        <is>
          <t>Millrace Logistics Group Inc.</t>
        </is>
      </c>
      <c r="C89" t="inlineStr">
        <is>
          <t>Memphis, TN</t>
        </is>
      </c>
      <c r="D89" t="inlineStr">
        <is>
          <t>Birmingham, AL</t>
        </is>
      </c>
      <c r="E89" t="inlineStr">
        <is>
          <t>Dry van 53 ft</t>
        </is>
      </c>
      <c r="F89" s="23" t="n">
        <v>46318</v>
      </c>
      <c r="G89" s="23" t="n">
        <v>46321</v>
      </c>
      <c r="H89" s="5" t="n">
        <v>241</v>
      </c>
      <c r="I89" s="6" t="n">
        <v>760</v>
      </c>
      <c r="J89" s="6" t="n">
        <v>111</v>
      </c>
      <c r="M89" s="6">
        <f>SUM(I89:K89)</f>
        <v>871</v>
      </c>
      <c r="N89" s="7">
        <f>Parameters!$B$7-G89</f>
        <v>5</v>
      </c>
      <c r="O89" t="str">
        <f>IF(N89&lt;=7,"0-7 days",IF(N89&lt;=14,"8-14 days",IF(N89&lt;=30,"15-30 days","Over 30 days")))</f>
        <v>0-7 days</v>
      </c>
      <c r="P89" t="inlineStr">
        <is>
          <t>Not received</t>
        </is>
      </c>
    </row>
    <row r="90">
      <c r="A90" t="inlineStr">
        <is>
          <t>LFL-1047548</t>
        </is>
      </c>
      <c r="B90" t="inlineStr">
        <is>
          <t>Millrace Logistics Group Inc.</t>
        </is>
      </c>
      <c r="C90" t="inlineStr">
        <is>
          <t>Memphis, TN</t>
        </is>
      </c>
      <c r="D90" t="inlineStr">
        <is>
          <t>Jacksonville, FL</t>
        </is>
      </c>
      <c r="E90" t="inlineStr">
        <is>
          <t>Dry van 53 ft</t>
        </is>
      </c>
      <c r="F90" s="23" t="n">
        <v>46318</v>
      </c>
      <c r="G90" s="23" t="n">
        <v>46322</v>
      </c>
      <c r="H90" s="5" t="n">
        <v>693</v>
      </c>
      <c r="I90" s="6" t="n">
        <v>1640</v>
      </c>
      <c r="J90" s="6" t="n">
        <v>319</v>
      </c>
      <c r="M90" s="6">
        <f>SUM(I90:K90)</f>
        <v>1959</v>
      </c>
      <c r="N90" s="7">
        <f>Parameters!$B$7-G90</f>
        <v>4</v>
      </c>
      <c r="O90" t="str">
        <f>IF(N90&lt;=7,"0-7 days",IF(N90&lt;=14,"8-14 days",IF(N90&lt;=30,"15-30 days","Over 30 days")))</f>
        <v>0-7 days</v>
      </c>
      <c r="P90" t="inlineStr">
        <is>
          <t>Not received</t>
        </is>
      </c>
    </row>
    <row r="91">
      <c r="A91" t="inlineStr">
        <is>
          <t>LFL-1047703</t>
        </is>
      </c>
      <c r="B91" t="inlineStr">
        <is>
          <t>Millrace Logistics Group Inc.</t>
        </is>
      </c>
      <c r="C91" t="inlineStr">
        <is>
          <t>Southaven, MS</t>
        </is>
      </c>
      <c r="D91" t="inlineStr">
        <is>
          <t>Louisville, KY</t>
        </is>
      </c>
      <c r="E91" t="inlineStr">
        <is>
          <t>Dry van 53 ft</t>
        </is>
      </c>
      <c r="F91" s="23" t="n">
        <v>46322</v>
      </c>
      <c r="G91" s="23" t="n">
        <v>46323</v>
      </c>
      <c r="H91" s="5" t="n">
        <v>392</v>
      </c>
      <c r="I91" s="6" t="n">
        <v>1115</v>
      </c>
      <c r="J91" s="6" t="n">
        <v>180</v>
      </c>
      <c r="M91" s="6">
        <f>SUM(I91:K91)</f>
        <v>1295</v>
      </c>
      <c r="N91" s="7">
        <f>Parameters!$B$7-G91</f>
        <v>3</v>
      </c>
      <c r="O91" t="str">
        <f>IF(N91&lt;=7,"0-7 days",IF(N91&lt;=14,"8-14 days",IF(N91&lt;=30,"15-30 days","Over 30 days")))</f>
        <v>0-7 days</v>
      </c>
      <c r="P91" t="inlineStr">
        <is>
          <t>Not received</t>
        </is>
      </c>
    </row>
    <row r="92">
      <c r="A92" t="inlineStr">
        <is>
          <t>LFL-1047730</t>
        </is>
      </c>
      <c r="B92" t="inlineStr">
        <is>
          <t>Millrace Logistics Group Inc.</t>
        </is>
      </c>
      <c r="C92" t="inlineStr">
        <is>
          <t>Memphis, TN</t>
        </is>
      </c>
      <c r="D92" t="inlineStr">
        <is>
          <t>Atlanta, GA</t>
        </is>
      </c>
      <c r="E92" t="inlineStr">
        <is>
          <t>Dry van 53 ft</t>
        </is>
      </c>
      <c r="F92" s="23" t="n">
        <v>46322</v>
      </c>
      <c r="G92" s="23" t="n">
        <v>46323</v>
      </c>
      <c r="H92" s="5" t="n">
        <v>389</v>
      </c>
      <c r="I92" s="6" t="n">
        <v>1060</v>
      </c>
      <c r="J92" s="6" t="n">
        <v>179</v>
      </c>
      <c r="K92" s="6" t="n">
        <v>100</v>
      </c>
      <c r="L92" t="inlineStr">
        <is>
          <t>Detention 2 hr</t>
        </is>
      </c>
      <c r="M92" s="6">
        <f>SUM(I92:K92)</f>
        <v>1339</v>
      </c>
      <c r="N92" s="7">
        <f>Parameters!$B$7-G92</f>
        <v>3</v>
      </c>
      <c r="O92" t="str">
        <f>IF(N92&lt;=7,"0-7 days",IF(N92&lt;=14,"8-14 days",IF(N92&lt;=30,"15-30 days","Over 30 days")))</f>
        <v>0-7 days</v>
      </c>
      <c r="P92" t="inlineStr">
        <is>
          <t>Not received</t>
        </is>
      </c>
    </row>
    <row r="93">
      <c r="A93" t="inlineStr">
        <is>
          <t>LFL-1047731</t>
        </is>
      </c>
      <c r="B93" t="inlineStr">
        <is>
          <t>Millrace Logistics Group Inc.</t>
        </is>
      </c>
      <c r="C93" t="inlineStr">
        <is>
          <t>Memphis, TN</t>
        </is>
      </c>
      <c r="D93" t="inlineStr">
        <is>
          <t>Charlotte, NC</t>
        </is>
      </c>
      <c r="E93" t="inlineStr">
        <is>
          <t>Dry van 53 ft</t>
        </is>
      </c>
      <c r="F93" s="23" t="n">
        <v>46322</v>
      </c>
      <c r="G93" s="23" t="n">
        <v>46324</v>
      </c>
      <c r="H93" s="5" t="n">
        <v>620</v>
      </c>
      <c r="I93" s="6" t="n">
        <v>1535</v>
      </c>
      <c r="J93" s="6" t="n">
        <v>285</v>
      </c>
      <c r="M93" s="6">
        <f>SUM(I93:K93)</f>
        <v>1820</v>
      </c>
      <c r="N93" s="7">
        <f>Parameters!$B$7-G93</f>
        <v>2</v>
      </c>
      <c r="O93" t="str">
        <f>IF(N93&lt;=7,"0-7 days",IF(N93&lt;=14,"8-14 days",IF(N93&lt;=30,"15-30 days","Over 30 days")))</f>
        <v>0-7 days</v>
      </c>
      <c r="P93" t="inlineStr">
        <is>
          <t>Not received</t>
        </is>
      </c>
    </row>
    <row r="94">
      <c r="A94" t="inlineStr">
        <is>
          <t>LFL-1047833</t>
        </is>
      </c>
      <c r="B94" t="inlineStr">
        <is>
          <t>Millrace Logistics Group Inc.</t>
        </is>
      </c>
      <c r="C94" t="inlineStr">
        <is>
          <t>Gary, IN</t>
        </is>
      </c>
      <c r="D94" t="inlineStr">
        <is>
          <t>Nashville, TN</t>
        </is>
      </c>
      <c r="E94" t="inlineStr">
        <is>
          <t>Dry van 53 ft</t>
        </is>
      </c>
      <c r="F94" s="23" t="n">
        <v>46324</v>
      </c>
      <c r="G94" s="23" t="n">
        <v>46325</v>
      </c>
      <c r="H94" s="5" t="n">
        <v>447</v>
      </c>
      <c r="I94" s="6" t="n">
        <v>1245</v>
      </c>
      <c r="J94" s="6" t="n">
        <v>206</v>
      </c>
      <c r="M94" s="6">
        <f>SUM(I94:K94)</f>
        <v>1451</v>
      </c>
      <c r="N94" s="7">
        <f>Parameters!$B$7-G94</f>
        <v>1</v>
      </c>
      <c r="O94" t="str">
        <f>IF(N94&lt;=7,"0-7 days",IF(N94&lt;=14,"8-14 days",IF(N94&lt;=30,"15-30 days","Over 30 days")))</f>
        <v>0-7 days</v>
      </c>
      <c r="P94" t="inlineStr">
        <is>
          <t>Not received</t>
        </is>
      </c>
    </row>
    <row r="95">
      <c r="A95" t="inlineStr">
        <is>
          <t>LFL-1047346</t>
        </is>
      </c>
      <c r="B95" t="inlineStr">
        <is>
          <t>Foxglove Freight Solutions LLC</t>
        </is>
      </c>
      <c r="C95" t="inlineStr">
        <is>
          <t>Gary, IN</t>
        </is>
      </c>
      <c r="D95" t="inlineStr">
        <is>
          <t>Detroit, MI</t>
        </is>
      </c>
      <c r="E95" t="inlineStr">
        <is>
          <t>Dry van 53 ft</t>
        </is>
      </c>
      <c r="F95" s="23" t="n">
        <v>46314</v>
      </c>
      <c r="G95" s="23" t="n">
        <v>46315</v>
      </c>
      <c r="H95" s="5" t="n">
        <v>262</v>
      </c>
      <c r="I95" s="6" t="n">
        <v>725</v>
      </c>
      <c r="J95" s="6" t="n">
        <v>115</v>
      </c>
      <c r="M95" s="6">
        <f>SUM(I95:K95)</f>
        <v>840</v>
      </c>
      <c r="N95" s="7">
        <f>Parameters!$B$7-G95</f>
        <v>11</v>
      </c>
      <c r="O95" t="str">
        <f>IF(N95&lt;=7,"0-7 days",IF(N95&lt;=14,"8-14 days",IF(N95&lt;=30,"15-30 days","Over 30 days")))</f>
        <v>8-14 days</v>
      </c>
      <c r="P95" t="inlineStr">
        <is>
          <t>Not received</t>
        </is>
      </c>
    </row>
    <row r="96">
      <c r="A96" t="inlineStr">
        <is>
          <t>LFL-1047459</t>
        </is>
      </c>
      <c r="B96" t="inlineStr">
        <is>
          <t>Foxglove Freight Solutions LLC</t>
        </is>
      </c>
      <c r="C96" t="inlineStr">
        <is>
          <t>Memphis, TN</t>
        </is>
      </c>
      <c r="D96" t="inlineStr">
        <is>
          <t>Little Rock, AR</t>
        </is>
      </c>
      <c r="E96" t="inlineStr">
        <is>
          <t>Dry van 53 ft</t>
        </is>
      </c>
      <c r="F96" s="23" t="n">
        <v>46316</v>
      </c>
      <c r="G96" s="23" t="n">
        <v>46317</v>
      </c>
      <c r="H96" s="5" t="n">
        <v>137</v>
      </c>
      <c r="I96" s="6" t="n">
        <v>635</v>
      </c>
      <c r="J96" s="6" t="n">
        <v>60</v>
      </c>
      <c r="M96" s="6">
        <f>SUM(I96:K96)</f>
        <v>695</v>
      </c>
      <c r="N96" s="7">
        <f>Parameters!$B$7-G96</f>
        <v>9</v>
      </c>
      <c r="O96" t="str">
        <f>IF(N96&lt;=7,"0-7 days",IF(N96&lt;=14,"8-14 days",IF(N96&lt;=30,"15-30 days","Over 30 days")))</f>
        <v>8-14 days</v>
      </c>
      <c r="P96" t="inlineStr">
        <is>
          <t>Not received</t>
        </is>
      </c>
    </row>
    <row r="97">
      <c r="A97" t="inlineStr">
        <is>
          <t>LFL-1047516</t>
        </is>
      </c>
      <c r="B97" t="inlineStr">
        <is>
          <t>Foxglove Freight Solutions LLC</t>
        </is>
      </c>
      <c r="C97" t="inlineStr">
        <is>
          <t>Olive Branch, MS</t>
        </is>
      </c>
      <c r="D97" t="inlineStr">
        <is>
          <t>St. Louis, MO</t>
        </is>
      </c>
      <c r="E97" t="inlineStr">
        <is>
          <t>Dry van 53 ft</t>
        </is>
      </c>
      <c r="F97" s="23" t="n">
        <v>46317</v>
      </c>
      <c r="G97" s="23" t="n">
        <v>46318</v>
      </c>
      <c r="H97" s="5" t="n">
        <v>300</v>
      </c>
      <c r="I97" s="6" t="n">
        <v>840</v>
      </c>
      <c r="J97" s="6" t="n">
        <v>132</v>
      </c>
      <c r="M97" s="6">
        <f>SUM(I97:K97)</f>
        <v>972</v>
      </c>
      <c r="N97" s="7">
        <f>Parameters!$B$7-G97</f>
        <v>8</v>
      </c>
      <c r="O97" t="str">
        <f>IF(N97&lt;=7,"0-7 days",IF(N97&lt;=14,"8-14 days",IF(N97&lt;=30,"15-30 days","Over 30 days")))</f>
        <v>8-14 days</v>
      </c>
      <c r="P97" t="inlineStr">
        <is>
          <t>Not received</t>
        </is>
      </c>
    </row>
    <row r="98">
      <c r="A98" t="inlineStr">
        <is>
          <t>LFL-1047558</t>
        </is>
      </c>
      <c r="B98" t="inlineStr">
        <is>
          <t>Foxglove Freight Solutions LLC</t>
        </is>
      </c>
      <c r="C98" t="inlineStr">
        <is>
          <t>Gary, IN</t>
        </is>
      </c>
      <c r="D98" t="inlineStr">
        <is>
          <t>Louisville, KY</t>
        </is>
      </c>
      <c r="E98" t="inlineStr">
        <is>
          <t>Dry van 53 ft</t>
        </is>
      </c>
      <c r="F98" s="23" t="n">
        <v>46318</v>
      </c>
      <c r="G98" s="23" t="n">
        <v>46321</v>
      </c>
      <c r="H98" s="5" t="n">
        <v>290</v>
      </c>
      <c r="I98" s="6" t="n">
        <v>840</v>
      </c>
      <c r="J98" s="6" t="n">
        <v>128</v>
      </c>
      <c r="K98" s="6" t="n">
        <v>75</v>
      </c>
      <c r="L98" t="inlineStr">
        <is>
          <t>Driver assist</t>
        </is>
      </c>
      <c r="M98" s="6">
        <f>SUM(I98:K98)</f>
        <v>1043</v>
      </c>
      <c r="N98" s="7">
        <f>Parameters!$B$7-G98</f>
        <v>5</v>
      </c>
      <c r="O98" t="str">
        <f>IF(N98&lt;=7,"0-7 days",IF(N98&lt;=14,"8-14 days",IF(N98&lt;=30,"15-30 days","Over 30 days")))</f>
        <v>0-7 days</v>
      </c>
      <c r="P98" t="inlineStr">
        <is>
          <t>Not received</t>
        </is>
      </c>
    </row>
    <row r="99">
      <c r="A99" t="inlineStr">
        <is>
          <t>LFL-1047656</t>
        </is>
      </c>
      <c r="B99" t="inlineStr">
        <is>
          <t>Foxglove Freight Solutions LLC</t>
        </is>
      </c>
      <c r="C99" t="inlineStr">
        <is>
          <t>Gary, IN</t>
        </is>
      </c>
      <c r="D99" t="inlineStr">
        <is>
          <t>Detroit, MI</t>
        </is>
      </c>
      <c r="E99" t="inlineStr">
        <is>
          <t>Dry van 53 ft</t>
        </is>
      </c>
      <c r="F99" s="23" t="n">
        <v>46321</v>
      </c>
      <c r="G99" s="23" t="n">
        <v>46322</v>
      </c>
      <c r="H99" s="5" t="n">
        <v>262</v>
      </c>
      <c r="I99" s="6" t="n">
        <v>720</v>
      </c>
      <c r="J99" s="6" t="n">
        <v>115</v>
      </c>
      <c r="M99" s="6">
        <f>SUM(I99:K99)</f>
        <v>835</v>
      </c>
      <c r="N99" s="7">
        <f>Parameters!$B$7-G99</f>
        <v>4</v>
      </c>
      <c r="O99" t="str">
        <f>IF(N99&lt;=7,"0-7 days",IF(N99&lt;=14,"8-14 days",IF(N99&lt;=30,"15-30 days","Over 30 days")))</f>
        <v>0-7 days</v>
      </c>
      <c r="P99" t="inlineStr">
        <is>
          <t>Not received</t>
        </is>
      </c>
    </row>
    <row r="100">
      <c r="A100" t="inlineStr">
        <is>
          <t>LFL-1047687</t>
        </is>
      </c>
      <c r="B100" t="inlineStr">
        <is>
          <t>Foxglove Freight Solutions LLC</t>
        </is>
      </c>
      <c r="C100" t="inlineStr">
        <is>
          <t>Memphis, TN</t>
        </is>
      </c>
      <c r="D100" t="inlineStr">
        <is>
          <t>Jackson, MS</t>
        </is>
      </c>
      <c r="E100" t="inlineStr">
        <is>
          <t>Dry van 53 ft</t>
        </is>
      </c>
      <c r="F100" s="23" t="n">
        <v>46321</v>
      </c>
      <c r="G100" s="23" t="n">
        <v>46322</v>
      </c>
      <c r="H100" s="5" t="n">
        <v>211</v>
      </c>
      <c r="I100" s="6" t="n">
        <v>760</v>
      </c>
      <c r="J100" s="6" t="n">
        <v>93</v>
      </c>
      <c r="M100" s="6">
        <f>SUM(I100:K100)</f>
        <v>853</v>
      </c>
      <c r="N100" s="7">
        <f>Parameters!$B$7-G100</f>
        <v>4</v>
      </c>
      <c r="O100" t="str">
        <f>IF(N100&lt;=7,"0-7 days",IF(N100&lt;=14,"8-14 days",IF(N100&lt;=30,"15-30 days","Over 30 days")))</f>
        <v>0-7 days</v>
      </c>
      <c r="P100" t="inlineStr">
        <is>
          <t>Not received</t>
        </is>
      </c>
    </row>
    <row r="101">
      <c r="A101" t="inlineStr">
        <is>
          <t>LFL-1047716</t>
        </is>
      </c>
      <c r="B101" t="inlineStr">
        <is>
          <t>Foxglove Freight Solutions LLC</t>
        </is>
      </c>
      <c r="C101" t="inlineStr">
        <is>
          <t>Gary, IN</t>
        </is>
      </c>
      <c r="D101" t="inlineStr">
        <is>
          <t>Cincinnati, OH</t>
        </is>
      </c>
      <c r="E101" t="inlineStr">
        <is>
          <t>Dry van 53 ft</t>
        </is>
      </c>
      <c r="F101" s="23" t="n">
        <v>46322</v>
      </c>
      <c r="G101" s="23" t="n">
        <v>46323</v>
      </c>
      <c r="H101" s="5" t="n">
        <v>282</v>
      </c>
      <c r="I101" s="6" t="n">
        <v>805</v>
      </c>
      <c r="J101" s="6" t="n">
        <v>124</v>
      </c>
      <c r="M101" s="6">
        <f>SUM(I101:K101)</f>
        <v>929</v>
      </c>
      <c r="N101" s="7">
        <f>Parameters!$B$7-G101</f>
        <v>3</v>
      </c>
      <c r="O101" t="str">
        <f>IF(N101&lt;=7,"0-7 days",IF(N101&lt;=14,"8-14 days",IF(N101&lt;=30,"15-30 days","Over 30 days")))</f>
        <v>0-7 days</v>
      </c>
      <c r="P101" t="inlineStr">
        <is>
          <t>Not received</t>
        </is>
      </c>
    </row>
    <row r="102">
      <c r="A102" t="inlineStr">
        <is>
          <t>LFL-1047756</t>
        </is>
      </c>
      <c r="B102" t="inlineStr">
        <is>
          <t>Foxglove Freight Solutions LLC</t>
        </is>
      </c>
      <c r="C102" t="inlineStr">
        <is>
          <t>Gary, IN</t>
        </is>
      </c>
      <c r="D102" t="inlineStr">
        <is>
          <t>Indianapolis, IN</t>
        </is>
      </c>
      <c r="E102" t="inlineStr">
        <is>
          <t>Dry van 53 ft</t>
        </is>
      </c>
      <c r="F102" s="23" t="n">
        <v>46323</v>
      </c>
      <c r="G102" s="23" t="n">
        <v>46324</v>
      </c>
      <c r="H102" s="5" t="n">
        <v>152</v>
      </c>
      <c r="I102" s="6" t="n">
        <v>690</v>
      </c>
      <c r="J102" s="6" t="n">
        <v>67</v>
      </c>
      <c r="M102" s="6">
        <f>SUM(I102:K102)</f>
        <v>757</v>
      </c>
      <c r="N102" s="7">
        <f>Parameters!$B$7-G102</f>
        <v>2</v>
      </c>
      <c r="O102" t="str">
        <f>IF(N102&lt;=7,"0-7 days",IF(N102&lt;=14,"8-14 days",IF(N102&lt;=30,"15-30 days","Over 30 days")))</f>
        <v>0-7 days</v>
      </c>
      <c r="P102" t="inlineStr">
        <is>
          <t>Not received</t>
        </is>
      </c>
    </row>
    <row r="103">
      <c r="A103" t="inlineStr">
        <is>
          <t>LFL-1047798</t>
        </is>
      </c>
      <c r="B103" t="inlineStr">
        <is>
          <t>Foxglove Freight Solutions LLC</t>
        </is>
      </c>
      <c r="C103" t="inlineStr">
        <is>
          <t>Memphis, TN</t>
        </is>
      </c>
      <c r="D103" t="inlineStr">
        <is>
          <t>Nashville, TN</t>
        </is>
      </c>
      <c r="E103" t="inlineStr">
        <is>
          <t>Dry van 53 ft</t>
        </is>
      </c>
      <c r="F103" s="23" t="n">
        <v>46324</v>
      </c>
      <c r="G103" s="23" t="n">
        <v>46325</v>
      </c>
      <c r="H103" s="5" t="n">
        <v>212</v>
      </c>
      <c r="I103" s="6" t="n">
        <v>730</v>
      </c>
      <c r="J103" s="6" t="n">
        <v>93</v>
      </c>
      <c r="M103" s="6">
        <f>SUM(I103:K103)</f>
        <v>823</v>
      </c>
      <c r="N103" s="7">
        <f>Parameters!$B$7-G103</f>
        <v>1</v>
      </c>
      <c r="O103" t="str">
        <f>IF(N103&lt;=7,"0-7 days",IF(N103&lt;=14,"8-14 days",IF(N103&lt;=30,"15-30 days","Over 30 days")))</f>
        <v>0-7 days</v>
      </c>
      <c r="P103" t="inlineStr">
        <is>
          <t>Not received</t>
        </is>
      </c>
    </row>
    <row r="105">
      <c r="A105" s="2" t="inlineStr">
        <is>
          <t>Total</t>
        </is>
      </c>
      <c r="B105" s="24">
        <f>COUNTA(A2:A103)</f>
        <v>102</v>
      </c>
      <c r="H105" s="9">
        <f>SUM(H2:H103)</f>
        <v>64859</v>
      </c>
      <c r="I105" s="10">
        <f>SUM(I2:I103)</f>
        <v>154190</v>
      </c>
      <c r="J105" s="10">
        <f>SUM(J2:J103)</f>
        <v>29480</v>
      </c>
      <c r="K105" s="10">
        <f>SUM(K2:K103)</f>
        <v>2750</v>
      </c>
      <c r="M105" s="10">
        <f>SUM(M2:M103)</f>
        <v>186420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Broker</t>
        </is>
      </c>
      <c r="B1" s="2" t="inlineStr">
        <is>
          <t>Billing</t>
        </is>
      </c>
      <c r="C1" s="2" t="inlineStr">
        <is>
          <t>Loads</t>
        </is>
      </c>
      <c r="D1" s="2" t="inlineStr">
        <is>
          <t>Linehaul</t>
        </is>
      </c>
      <c r="E1" s="2" t="inlineStr">
        <is>
          <t>Fuel surcharge</t>
        </is>
      </c>
      <c r="F1" s="2" t="inlineStr">
        <is>
          <t>Accessorials</t>
        </is>
      </c>
      <c r="G1" s="2" t="inlineStr">
        <is>
          <t>Total</t>
        </is>
      </c>
      <c r="H1" s="2" t="inlineStr">
        <is>
          <t>% of total</t>
        </is>
      </c>
      <c r="I1" s="2" t="inlineStr">
        <is>
          <t>Avg per load</t>
        </is>
      </c>
      <c r="J1" s="2" t="inlineStr">
        <is>
          <t>On hold</t>
        </is>
      </c>
    </row>
    <row r="2">
      <c r="A2" t="inlineStr">
        <is>
          <t>Ironbridge Logistics Brokerage LLC</t>
        </is>
      </c>
      <c r="B2" t="inlineStr">
        <is>
          <t>Monthly statement</t>
        </is>
      </c>
      <c r="C2" s="5">
        <f>COUNTIF('Load Detail'!$B$2:$B$103,$A2)</f>
        <v>13</v>
      </c>
      <c r="D2" s="6">
        <f>SUMIF('Load Detail'!$B$2:$B$103,$A2,'Load Detail'!$I$2:$I$103)</f>
        <v>20275</v>
      </c>
      <c r="E2" s="6">
        <f>SUMIF('Load Detail'!$B$2:$B$103,$A2,'Load Detail'!$J$2:$J$103)</f>
        <v>4212</v>
      </c>
      <c r="F2" s="6">
        <f>SUMIF('Load Detail'!$B$2:$B$103,$A2,'Load Detail'!$K$2:$K$103)</f>
        <v>340</v>
      </c>
      <c r="G2" s="6">
        <f>SUM(D2:F2)</f>
        <v>24827</v>
      </c>
      <c r="H2" s="25">
        <f>IF($G$9=0,0,G2/$G$9)</f>
        <v>0.13317777062546937</v>
      </c>
      <c r="I2" s="6">
        <f>IF(C2=0,0,G2/C2)</f>
        <v>1909.7692307692307</v>
      </c>
      <c r="J2" s="5">
        <f>COUNTIFS('Load Detail'!$B$2:$B$103,$A2,'Load Detail'!$P$2:$P$103,"Received, on hold")</f>
        <v>0</v>
      </c>
    </row>
    <row r="3">
      <c r="A3" t="inlineStr">
        <is>
          <t>Copperline Freight Brokerage Inc.</t>
        </is>
      </c>
      <c r="B3" t="inlineStr">
        <is>
          <t>Per load</t>
        </is>
      </c>
      <c r="C3" s="5">
        <f>COUNTIF('Load Detail'!$B$2:$B$103,$A3)</f>
        <v>21</v>
      </c>
      <c r="D3" s="6">
        <f>SUMIF('Load Detail'!$B$2:$B$103,$A3,'Load Detail'!$I$2:$I$103)</f>
        <v>29810</v>
      </c>
      <c r="E3" s="6">
        <f>SUMIF('Load Detail'!$B$2:$B$103,$A3,'Load Detail'!$J$2:$J$103)</f>
        <v>5613</v>
      </c>
      <c r="F3" s="6">
        <f>SUMIF('Load Detail'!$B$2:$B$103,$A3,'Load Detail'!$K$2:$K$103)</f>
        <v>575</v>
      </c>
      <c r="G3" s="6">
        <f>SUM(D3:F3)</f>
        <v>35998</v>
      </c>
      <c r="H3" s="25">
        <f>IF($G$9=0,0,G3/$G$9)</f>
        <v>0.1931015985409291</v>
      </c>
      <c r="I3" s="6">
        <f>IF(C3=0,0,G3/C3)</f>
        <v>1714.1904761904761</v>
      </c>
      <c r="J3" s="5">
        <f>COUNTIFS('Load Detail'!$B$2:$B$103,$A3,'Load Detail'!$P$2:$P$103,"Received, on hold")</f>
        <v>1</v>
      </c>
    </row>
    <row r="4">
      <c r="A4" t="inlineStr">
        <is>
          <t>Kestrel Lane Logistics LLC</t>
        </is>
      </c>
      <c r="B4" t="inlineStr">
        <is>
          <t>Per load</t>
        </is>
      </c>
      <c r="C4" s="5">
        <f>COUNTIF('Load Detail'!$B$2:$B$103,$A4)</f>
        <v>18</v>
      </c>
      <c r="D4" s="6">
        <f>SUMIF('Load Detail'!$B$2:$B$103,$A4,'Load Detail'!$I$2:$I$103)</f>
        <v>28140</v>
      </c>
      <c r="E4" s="6">
        <f>SUMIF('Load Detail'!$B$2:$B$103,$A4,'Load Detail'!$J$2:$J$103)</f>
        <v>5487</v>
      </c>
      <c r="F4" s="6">
        <f>SUMIF('Load Detail'!$B$2:$B$103,$A4,'Load Detail'!$K$2:$K$103)</f>
        <v>250</v>
      </c>
      <c r="G4" s="6">
        <f>SUM(D4:F4)</f>
        <v>33877</v>
      </c>
      <c r="H4" s="25">
        <f>IF($G$9=0,0,G4/$G$9)</f>
        <v>0.18172406394163718</v>
      </c>
      <c r="I4" s="6">
        <f>IF(C4=0,0,G4/C4)</f>
        <v>1882.0555555555557</v>
      </c>
      <c r="J4" s="5">
        <f>COUNTIFS('Load Detail'!$B$2:$B$103,$A4,'Load Detail'!$P$2:$P$103,"Received, on hold")</f>
        <v>1</v>
      </c>
    </row>
    <row r="5">
      <c r="A5" t="inlineStr">
        <is>
          <t>Sable Creek Freight Partners LLC</t>
        </is>
      </c>
      <c r="B5" t="inlineStr">
        <is>
          <t>Per load</t>
        </is>
      </c>
      <c r="C5" s="5">
        <f>COUNTIF('Load Detail'!$B$2:$B$103,$A5)</f>
        <v>15</v>
      </c>
      <c r="D5" s="6">
        <f>SUMIF('Load Detail'!$B$2:$B$103,$A5,'Load Detail'!$I$2:$I$103)</f>
        <v>31555</v>
      </c>
      <c r="E5" s="6">
        <f>SUMIF('Load Detail'!$B$2:$B$103,$A5,'Load Detail'!$J$2:$J$103)</f>
        <v>6241</v>
      </c>
      <c r="F5" s="6">
        <f>SUMIF('Load Detail'!$B$2:$B$103,$A5,'Load Detail'!$K$2:$K$103)</f>
        <v>960</v>
      </c>
      <c r="G5" s="6">
        <f>SUM(D5:F5)</f>
        <v>38756</v>
      </c>
      <c r="H5" s="25">
        <f>IF($G$9=0,0,G5/$G$9)</f>
        <v>0.20789614848192253</v>
      </c>
      <c r="I5" s="6">
        <f>IF(C5=0,0,G5/C5)</f>
        <v>2583.733333333333</v>
      </c>
      <c r="J5" s="5">
        <f>COUNTIFS('Load Detail'!$B$2:$B$103,$A5,'Load Detail'!$P$2:$P$103,"Received, on hold")</f>
        <v>1</v>
      </c>
    </row>
    <row r="6">
      <c r="A6" t="inlineStr">
        <is>
          <t>Larkfield Transport Brokerage LLC</t>
        </is>
      </c>
      <c r="B6" t="inlineStr">
        <is>
          <t>Per load</t>
        </is>
      </c>
      <c r="C6" s="5">
        <f>COUNTIF('Load Detail'!$B$2:$B$103,$A6)</f>
        <v>14</v>
      </c>
      <c r="D6" s="6">
        <f>SUMIF('Load Detail'!$B$2:$B$103,$A6,'Load Detail'!$I$2:$I$103)</f>
        <v>22850</v>
      </c>
      <c r="E6" s="6">
        <f>SUMIF('Load Detail'!$B$2:$B$103,$A6,'Load Detail'!$J$2:$J$103)</f>
        <v>4440</v>
      </c>
      <c r="F6" s="6">
        <f>SUMIF('Load Detail'!$B$2:$B$103,$A6,'Load Detail'!$K$2:$K$103)</f>
        <v>225</v>
      </c>
      <c r="G6" s="6">
        <f>SUM(D6:F6)</f>
        <v>27515</v>
      </c>
      <c r="H6" s="25">
        <f>IF($G$9=0,0,G6/$G$9)</f>
        <v>0.14759682437506705</v>
      </c>
      <c r="I6" s="6">
        <f>IF(C6=0,0,G6/C6)</f>
        <v>1965.357142857143</v>
      </c>
      <c r="J6" s="5">
        <f>COUNTIFS('Load Detail'!$B$2:$B$103,$A6,'Load Detail'!$P$2:$P$103,"Received, on hold")</f>
        <v>1</v>
      </c>
    </row>
    <row r="7">
      <c r="A7" t="inlineStr">
        <is>
          <t>Millrace Logistics Group Inc.</t>
        </is>
      </c>
      <c r="B7" t="inlineStr">
        <is>
          <t>Per load</t>
        </is>
      </c>
      <c r="C7" s="5">
        <f>COUNTIF('Load Detail'!$B$2:$B$103,$A7)</f>
        <v>12</v>
      </c>
      <c r="D7" s="6">
        <f>SUMIF('Load Detail'!$B$2:$B$103,$A7,'Load Detail'!$I$2:$I$103)</f>
        <v>14815</v>
      </c>
      <c r="E7" s="6">
        <f>SUMIF('Load Detail'!$B$2:$B$103,$A7,'Load Detail'!$J$2:$J$103)</f>
        <v>2560</v>
      </c>
      <c r="F7" s="6">
        <f>SUMIF('Load Detail'!$B$2:$B$103,$A7,'Load Detail'!$K$2:$K$103)</f>
        <v>325</v>
      </c>
      <c r="G7" s="6">
        <f>SUM(D7:F7)</f>
        <v>17700</v>
      </c>
      <c r="H7" s="25">
        <f>IF($G$9=0,0,G7/$G$9)</f>
        <v>0.09494689411007402</v>
      </c>
      <c r="I7" s="6">
        <f>IF(C7=0,0,G7/C7)</f>
        <v>1475</v>
      </c>
      <c r="J7" s="5">
        <f>COUNTIFS('Load Detail'!$B$2:$B$103,$A7,'Load Detail'!$P$2:$P$103,"Received, on hold")</f>
        <v>0</v>
      </c>
    </row>
    <row r="8">
      <c r="A8" t="inlineStr">
        <is>
          <t>Foxglove Freight Solutions LLC</t>
        </is>
      </c>
      <c r="B8" t="inlineStr">
        <is>
          <t>Per load</t>
        </is>
      </c>
      <c r="C8" s="5">
        <f>COUNTIF('Load Detail'!$B$2:$B$103,$A8)</f>
        <v>9</v>
      </c>
      <c r="D8" s="6">
        <f>SUMIF('Load Detail'!$B$2:$B$103,$A8,'Load Detail'!$I$2:$I$103)</f>
        <v>6745</v>
      </c>
      <c r="E8" s="6">
        <f>SUMIF('Load Detail'!$B$2:$B$103,$A8,'Load Detail'!$J$2:$J$103)</f>
        <v>927</v>
      </c>
      <c r="F8" s="6">
        <f>SUMIF('Load Detail'!$B$2:$B$103,$A8,'Load Detail'!$K$2:$K$103)</f>
        <v>75</v>
      </c>
      <c r="G8" s="6">
        <f>SUM(D8:F8)</f>
        <v>7747</v>
      </c>
      <c r="H8" s="25">
        <f>IF($G$9=0,0,G8/$G$9)</f>
        <v>0.04155669992490076</v>
      </c>
      <c r="I8" s="6">
        <f>IF(C8=0,0,G8/C8)</f>
        <v>860.7777777777778</v>
      </c>
      <c r="J8" s="5">
        <f>COUNTIFS('Load Detail'!$B$2:$B$103,$A8,'Load Detail'!$P$2:$P$103,"Received, on hold")</f>
        <v>0</v>
      </c>
    </row>
    <row r="9">
      <c r="A9" s="2" t="inlineStr">
        <is>
          <t>Total</t>
        </is>
      </c>
      <c r="C9" s="9">
        <f>SUM(C2:C8)</f>
        <v>102</v>
      </c>
      <c r="D9" s="10">
        <f>SUM(D2:D8)</f>
        <v>154190</v>
      </c>
      <c r="E9" s="10">
        <f>SUM(E2:E8)</f>
        <v>29480</v>
      </c>
      <c r="F9" s="10">
        <f>SUM(F2:F8)</f>
        <v>2750</v>
      </c>
      <c r="G9" s="10">
        <f>SUM(G2:G8)</f>
        <v>186420</v>
      </c>
      <c r="H9" s="26">
        <f>SUM(H2:H8)</f>
        <v>1</v>
      </c>
      <c r="I9" s="10">
        <f>IF(C9=0,0,G9/C9)</f>
        <v>1827.6470588235295</v>
      </c>
      <c r="J9" s="9">
        <f>SUM(J2:J8)</f>
        <v>4</v>
      </c>
    </row>
    <row r="11">
      <c r="A11" t="inlineStr">
        <is>
          <t>Check: agrees to Load Detail</t>
        </is>
      </c>
      <c r="C11" s="5">
        <f>C9-'Load Detail'!B105</f>
        <v>0</v>
      </c>
      <c r="G11" s="6">
        <f>G9-'Load Detail'!M105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Aging bucket</t>
        </is>
      </c>
      <c r="B1" s="2" t="inlineStr">
        <is>
          <t>Days from</t>
        </is>
      </c>
      <c r="C1" s="2" t="inlineStr">
        <is>
          <t>Days to</t>
        </is>
      </c>
      <c r="D1" s="2" t="inlineStr">
        <is>
          <t>Loads</t>
        </is>
      </c>
      <c r="E1" s="2" t="inlineStr">
        <is>
          <t>Amount</t>
        </is>
      </c>
      <c r="F1" s="2" t="inlineStr">
        <is>
          <t>% of amount</t>
        </is>
      </c>
    </row>
    <row r="2">
      <c r="A2" t="inlineStr">
        <is>
          <t>0-7 days</t>
        </is>
      </c>
      <c r="B2" s="7" t="n">
        <v>0</v>
      </c>
      <c r="C2" s="7" t="n">
        <v>7</v>
      </c>
      <c r="D2" s="5">
        <f>COUNTIFS('Load Detail'!$N$2:$N$103,"&gt;="&amp;B2,'Load Detail'!$N$2:$N$103,"&lt;="&amp;C2)</f>
        <v>46</v>
      </c>
      <c r="E2" s="6">
        <f>SUMIFS('Load Detail'!$M$2:$M$103,'Load Detail'!$N$2:$N$103,"&gt;="&amp;B2,'Load Detail'!$N$2:$N$103,"&lt;="&amp;C2)</f>
        <v>81360</v>
      </c>
      <c r="F2" s="25">
        <f>IF($E$6=0,0,E2/$E$6)</f>
        <v>0.4364338590280013</v>
      </c>
    </row>
    <row r="3">
      <c r="A3" t="inlineStr">
        <is>
          <t>8-14 days</t>
        </is>
      </c>
      <c r="B3" s="7" t="n">
        <v>8</v>
      </c>
      <c r="C3" s="7" t="n">
        <v>14</v>
      </c>
      <c r="D3" s="5">
        <f>COUNTIFS('Load Detail'!$N$2:$N$103,"&gt;="&amp;B3,'Load Detail'!$N$2:$N$103,"&lt;="&amp;C3)</f>
        <v>37</v>
      </c>
      <c r="E3" s="6">
        <f>SUMIFS('Load Detail'!$M$2:$M$103,'Load Detail'!$N$2:$N$103,"&gt;="&amp;B3,'Load Detail'!$N$2:$N$103,"&lt;="&amp;C3)</f>
        <v>67029</v>
      </c>
      <c r="F3" s="25">
        <f>IF($E$6=0,0,E3/$E$6)</f>
        <v>0.35955906018667527</v>
      </c>
    </row>
    <row r="4">
      <c r="A4" t="inlineStr">
        <is>
          <t>15-30 days</t>
        </is>
      </c>
      <c r="B4" s="7" t="n">
        <v>15</v>
      </c>
      <c r="C4" s="7" t="n">
        <v>30</v>
      </c>
      <c r="D4" s="5">
        <f>COUNTIFS('Load Detail'!$N$2:$N$103,"&gt;="&amp;B4,'Load Detail'!$N$2:$N$103,"&lt;="&amp;C4)</f>
        <v>18</v>
      </c>
      <c r="E4" s="6">
        <f>SUMIFS('Load Detail'!$M$2:$M$103,'Load Detail'!$N$2:$N$103,"&gt;="&amp;B4,'Load Detail'!$N$2:$N$103,"&lt;="&amp;C4)</f>
        <v>36119</v>
      </c>
      <c r="F4" s="25">
        <f>IF($E$6=0,0,E4/$E$6)</f>
        <v>0.1937506705289132</v>
      </c>
    </row>
    <row r="5">
      <c r="A5" t="inlineStr">
        <is>
          <t>Over 30 days</t>
        </is>
      </c>
      <c r="B5" s="7" t="n">
        <v>31</v>
      </c>
      <c r="D5" s="5">
        <f>COUNTIFS('Load Detail'!$N$2:$N$103,"&gt;="&amp;B5)</f>
        <v>1</v>
      </c>
      <c r="E5" s="6">
        <f>SUMIFS('Load Detail'!$M$2:$M$103,'Load Detail'!$N$2:$N$103,"&gt;="&amp;B5)</f>
        <v>1912</v>
      </c>
      <c r="F5" s="25">
        <f>IF($E$6=0,0,E5/$E$6)</f>
        <v>0.010256410256410256</v>
      </c>
    </row>
    <row r="6">
      <c r="A6" s="2" t="inlineStr">
        <is>
          <t>Total</t>
        </is>
      </c>
      <c r="D6" s="9">
        <f>SUM(D2:D5)</f>
        <v>102</v>
      </c>
      <c r="E6" s="10">
        <f>SUM(E2:E5)</f>
        <v>186420</v>
      </c>
      <c r="F6" s="26">
        <f>SUM(F2:F5)</f>
        <v>1</v>
      </c>
    </row>
    <row r="8">
      <c r="A8" s="2" t="inlineStr">
        <is>
          <t>Broker</t>
        </is>
      </c>
      <c r="B8" s="2" t="inlineStr">
        <is>
          <t>0-7 days</t>
        </is>
      </c>
      <c r="C8" s="2" t="inlineStr">
        <is>
          <t>8-14 days</t>
        </is>
      </c>
      <c r="D8" s="2" t="inlineStr">
        <is>
          <t>15-30 days</t>
        </is>
      </c>
      <c r="E8" s="2" t="inlineStr">
        <is>
          <t>Over 30 days</t>
        </is>
      </c>
      <c r="F8" s="2" t="inlineStr">
        <is>
          <t>Total</t>
        </is>
      </c>
    </row>
    <row r="9">
      <c r="A9" t="str">
        <f>'By Broker'!A2</f>
        <v>Ironbridge Logistics Brokerage LLC</v>
      </c>
      <c r="B9" s="6">
        <f>SUMIFS('Load Detail'!$M$2:$M$103,'Load Detail'!$B$2:$B$103,$A9,'Load Detail'!$O$2:$O$103,B$8)</f>
        <v>5368</v>
      </c>
      <c r="C9" s="6">
        <f>SUMIFS('Load Detail'!$M$2:$M$103,'Load Detail'!$B$2:$B$103,$A9,'Load Detail'!$O$2:$O$103,C$8)</f>
        <v>6007</v>
      </c>
      <c r="D9" s="6">
        <f>SUMIFS('Load Detail'!$M$2:$M$103,'Load Detail'!$B$2:$B$103,$A9,'Load Detail'!$O$2:$O$103,D$8)</f>
        <v>13452</v>
      </c>
      <c r="E9" s="6">
        <f>SUMIFS('Load Detail'!$M$2:$M$103,'Load Detail'!$B$2:$B$103,$A9,'Load Detail'!$O$2:$O$103,E$8)</f>
        <v>0</v>
      </c>
      <c r="F9" s="6">
        <f>SUM(B9:E9)</f>
        <v>24827</v>
      </c>
    </row>
    <row r="10">
      <c r="A10" t="str">
        <f>'By Broker'!A3</f>
        <v>Copperline Freight Brokerage Inc.</v>
      </c>
      <c r="B10" s="6">
        <f>SUMIFS('Load Detail'!$M$2:$M$103,'Load Detail'!$B$2:$B$103,$A10,'Load Detail'!$O$2:$O$103,B$8)</f>
        <v>17858</v>
      </c>
      <c r="C10" s="6">
        <f>SUMIFS('Load Detail'!$M$2:$M$103,'Load Detail'!$B$2:$B$103,$A10,'Load Detail'!$O$2:$O$103,C$8)</f>
        <v>12562</v>
      </c>
      <c r="D10" s="6">
        <f>SUMIFS('Load Detail'!$M$2:$M$103,'Load Detail'!$B$2:$B$103,$A10,'Load Detail'!$O$2:$O$103,D$8)</f>
        <v>3666</v>
      </c>
      <c r="E10" s="6">
        <f>SUMIFS('Load Detail'!$M$2:$M$103,'Load Detail'!$B$2:$B$103,$A10,'Load Detail'!$O$2:$O$103,E$8)</f>
        <v>1912</v>
      </c>
      <c r="F10" s="6">
        <f>SUM(B10:E10)</f>
        <v>35998</v>
      </c>
    </row>
    <row r="11">
      <c r="A11" t="str">
        <f>'By Broker'!A4</f>
        <v>Kestrel Lane Logistics LLC</v>
      </c>
      <c r="B11" s="6">
        <f>SUMIFS('Load Detail'!$M$2:$M$103,'Load Detail'!$B$2:$B$103,$A11,'Load Detail'!$O$2:$O$103,B$8)</f>
        <v>14327</v>
      </c>
      <c r="C11" s="6">
        <f>SUMIFS('Load Detail'!$M$2:$M$103,'Load Detail'!$B$2:$B$103,$A11,'Load Detail'!$O$2:$O$103,C$8)</f>
        <v>14262</v>
      </c>
      <c r="D11" s="6">
        <f>SUMIFS('Load Detail'!$M$2:$M$103,'Load Detail'!$B$2:$B$103,$A11,'Load Detail'!$O$2:$O$103,D$8)</f>
        <v>5288</v>
      </c>
      <c r="E11" s="6">
        <f>SUMIFS('Load Detail'!$M$2:$M$103,'Load Detail'!$B$2:$B$103,$A11,'Load Detail'!$O$2:$O$103,E$8)</f>
        <v>0</v>
      </c>
      <c r="F11" s="6">
        <f>SUM(B11:E11)</f>
        <v>33877</v>
      </c>
    </row>
    <row r="12">
      <c r="A12" t="str">
        <f>'By Broker'!A5</f>
        <v>Sable Creek Freight Partners LLC</v>
      </c>
      <c r="B12" s="6">
        <f>SUMIFS('Load Detail'!$M$2:$M$103,'Load Detail'!$B$2:$B$103,$A12,'Load Detail'!$O$2:$O$103,B$8)</f>
        <v>18180</v>
      </c>
      <c r="C12" s="6">
        <f>SUMIFS('Load Detail'!$M$2:$M$103,'Load Detail'!$B$2:$B$103,$A12,'Load Detail'!$O$2:$O$103,C$8)</f>
        <v>12893</v>
      </c>
      <c r="D12" s="6">
        <f>SUMIFS('Load Detail'!$M$2:$M$103,'Load Detail'!$B$2:$B$103,$A12,'Load Detail'!$O$2:$O$103,D$8)</f>
        <v>7683</v>
      </c>
      <c r="E12" s="6">
        <f>SUMIFS('Load Detail'!$M$2:$M$103,'Load Detail'!$B$2:$B$103,$A12,'Load Detail'!$O$2:$O$103,E$8)</f>
        <v>0</v>
      </c>
      <c r="F12" s="6">
        <f>SUM(B12:E12)</f>
        <v>38756</v>
      </c>
    </row>
    <row r="13">
      <c r="A13" t="str">
        <f>'By Broker'!A6</f>
        <v>Larkfield Transport Brokerage LLC</v>
      </c>
      <c r="B13" s="6">
        <f>SUMIFS('Load Detail'!$M$2:$M$103,'Load Detail'!$B$2:$B$103,$A13,'Load Detail'!$O$2:$O$103,B$8)</f>
        <v>11652</v>
      </c>
      <c r="C13" s="6">
        <f>SUMIFS('Load Detail'!$M$2:$M$103,'Load Detail'!$B$2:$B$103,$A13,'Load Detail'!$O$2:$O$103,C$8)</f>
        <v>11887</v>
      </c>
      <c r="D13" s="6">
        <f>SUMIFS('Load Detail'!$M$2:$M$103,'Load Detail'!$B$2:$B$103,$A13,'Load Detail'!$O$2:$O$103,D$8)</f>
        <v>3976</v>
      </c>
      <c r="E13" s="6">
        <f>SUMIFS('Load Detail'!$M$2:$M$103,'Load Detail'!$B$2:$B$103,$A13,'Load Detail'!$O$2:$O$103,E$8)</f>
        <v>0</v>
      </c>
      <c r="F13" s="6">
        <f>SUM(B13:E13)</f>
        <v>27515</v>
      </c>
    </row>
    <row r="14">
      <c r="A14" t="str">
        <f>'By Broker'!A7</f>
        <v>Millrace Logistics Group Inc.</v>
      </c>
      <c r="B14" s="6">
        <f>SUMIFS('Load Detail'!$M$2:$M$103,'Load Detail'!$B$2:$B$103,$A14,'Load Detail'!$O$2:$O$103,B$8)</f>
        <v>8735</v>
      </c>
      <c r="C14" s="6">
        <f>SUMIFS('Load Detail'!$M$2:$M$103,'Load Detail'!$B$2:$B$103,$A14,'Load Detail'!$O$2:$O$103,C$8)</f>
        <v>6911</v>
      </c>
      <c r="D14" s="6">
        <f>SUMIFS('Load Detail'!$M$2:$M$103,'Load Detail'!$B$2:$B$103,$A14,'Load Detail'!$O$2:$O$103,D$8)</f>
        <v>2054</v>
      </c>
      <c r="E14" s="6">
        <f>SUMIFS('Load Detail'!$M$2:$M$103,'Load Detail'!$B$2:$B$103,$A14,'Load Detail'!$O$2:$O$103,E$8)</f>
        <v>0</v>
      </c>
      <c r="F14" s="6">
        <f>SUM(B14:E14)</f>
        <v>17700</v>
      </c>
    </row>
    <row r="15">
      <c r="A15" t="str">
        <f>'By Broker'!A8</f>
        <v>Foxglove Freight Solutions LLC</v>
      </c>
      <c r="B15" s="6">
        <f>SUMIFS('Load Detail'!$M$2:$M$103,'Load Detail'!$B$2:$B$103,$A15,'Load Detail'!$O$2:$O$103,B$8)</f>
        <v>5240</v>
      </c>
      <c r="C15" s="6">
        <f>SUMIFS('Load Detail'!$M$2:$M$103,'Load Detail'!$B$2:$B$103,$A15,'Load Detail'!$O$2:$O$103,C$8)</f>
        <v>2507</v>
      </c>
      <c r="D15" s="6">
        <f>SUMIFS('Load Detail'!$M$2:$M$103,'Load Detail'!$B$2:$B$103,$A15,'Load Detail'!$O$2:$O$103,D$8)</f>
        <v>0</v>
      </c>
      <c r="E15" s="6">
        <f>SUMIFS('Load Detail'!$M$2:$M$103,'Load Detail'!$B$2:$B$103,$A15,'Load Detail'!$O$2:$O$103,E$8)</f>
        <v>0</v>
      </c>
      <c r="F15" s="6">
        <f>SUM(B15:E15)</f>
        <v>7747</v>
      </c>
    </row>
    <row r="16">
      <c r="A16" s="2" t="inlineStr">
        <is>
          <t>Total</t>
        </is>
      </c>
      <c r="B16" s="10">
        <f>SUM(B9:B15)</f>
        <v>81360</v>
      </c>
      <c r="C16" s="10">
        <f>SUM(C9:C15)</f>
        <v>67029</v>
      </c>
      <c r="D16" s="10">
        <f>SUM(D9:D15)</f>
        <v>36119</v>
      </c>
      <c r="E16" s="10">
        <f>SUM(E9:E15)</f>
        <v>1912</v>
      </c>
      <c r="F16" s="10">
        <f>SUM(F9:F15)</f>
        <v>186420</v>
      </c>
    </row>
    <row r="18">
      <c r="A18" t="inlineStr">
        <is>
          <t>Check: agrees to bucket table</t>
        </is>
      </c>
      <c r="F18" s="6">
        <f>F16-E6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Report</t>
        </is>
      </c>
      <c r="B2" t="inlineStr">
        <is>
          <t>Unbilled Broker Loads</t>
        </is>
      </c>
    </row>
    <row r="3">
      <c r="A3" t="inlineStr">
        <is>
          <t>Company</t>
        </is>
      </c>
      <c r="B3" t="inlineStr">
        <is>
          <t>Lakeshore Freight Logistics</t>
        </is>
      </c>
    </row>
    <row r="4">
      <c r="A4" t="inlineStr">
        <is>
          <t>Source</t>
        </is>
      </c>
      <c r="B4" t="inlineStr">
        <is>
          <t>TMS freight pay, carrier cost accrual</t>
        </is>
      </c>
    </row>
    <row r="5">
      <c r="A5" t="inlineStr">
        <is>
          <t>Accrual period</t>
        </is>
      </c>
      <c r="B5" t="inlineStr">
        <is>
          <t>OCT-26</t>
        </is>
      </c>
    </row>
    <row r="6">
      <c r="A6" t="inlineStr">
        <is>
          <t>Period start</t>
        </is>
      </c>
      <c r="B6" s="23" t="n">
        <v>46296</v>
      </c>
    </row>
    <row r="7">
      <c r="A7" t="inlineStr">
        <is>
          <t>As-of date (period end)</t>
        </is>
      </c>
      <c r="B7" s="23" t="n">
        <v>46326</v>
      </c>
    </row>
    <row r="8">
      <c r="A8" t="inlineStr">
        <is>
          <t>Generated</t>
        </is>
      </c>
      <c r="B8" s="27" t="n">
        <v>46325.57825231482</v>
      </c>
    </row>
    <row r="9">
      <c r="A9" t="inlineStr">
        <is>
          <t>Time zone</t>
        </is>
      </c>
      <c r="B9" t="inlineStr">
        <is>
          <t>America/Chicago (CT)</t>
        </is>
      </c>
    </row>
    <row r="10">
      <c r="A10" t="inlineStr">
        <is>
          <t>Generated by</t>
        </is>
      </c>
      <c r="B10" t="inlineStr">
        <is>
          <t>mkeane</t>
        </is>
      </c>
    </row>
    <row r="11">
      <c r="A11" t="inlineStr">
        <is>
          <t>Carrier type</t>
        </is>
      </c>
      <c r="B11" t="inlineStr">
        <is>
          <t>Freight broker (third party)</t>
        </is>
      </c>
    </row>
    <row r="12">
      <c r="A12" t="inlineStr">
        <is>
          <t>Mode</t>
        </is>
      </c>
      <c r="B12" t="inlineStr">
        <is>
          <t>Truckload: dry van, reefer, power only</t>
        </is>
      </c>
    </row>
    <row r="13">
      <c r="A13" t="inlineStr">
        <is>
          <t>Load status</t>
        </is>
      </c>
      <c r="B13" t="inlineStr">
        <is>
          <t>Delivered, delivery date on or before the as-of date</t>
        </is>
      </c>
    </row>
    <row r="14">
      <c r="A14" t="inlineStr">
        <is>
          <t>Freight bill status</t>
        </is>
      </c>
      <c r="B14" t="inlineStr">
        <is>
          <t>No approved broker invoice: not received, monthly statement pending, or received and on hold</t>
        </is>
      </c>
    </row>
    <row r="15">
      <c r="A15" t="inlineStr">
        <is>
          <t>Excluded</t>
        </is>
      </c>
      <c r="B15" t="inlineStr">
        <is>
          <t>Company-driver loads, loads with an approved broker invoice, cancelled loads</t>
        </is>
      </c>
    </row>
    <row r="16">
      <c r="A16" t="inlineStr">
        <is>
          <t>Amount basis</t>
        </is>
      </c>
      <c r="B16" t="inlineStr">
        <is>
          <t>Rate confirmation: linehaul, fuel surcharge and approved accessorials</t>
        </is>
      </c>
    </row>
    <row r="17">
      <c r="A17" t="inlineStr">
        <is>
          <t>Currency</t>
        </is>
      </c>
      <c r="B17" t="inlineStr">
        <is>
          <t>USD</t>
        </is>
      </c>
    </row>
    <row r="18">
      <c r="A18" t="inlineStr">
        <is>
          <t>GL debit</t>
        </is>
      </c>
      <c r="B18" t="inlineStr">
        <is>
          <t>5120-000 Purchased Transportation, Brokers</t>
        </is>
      </c>
    </row>
    <row r="19">
      <c r="A19" t="inlineStr">
        <is>
          <t>GL credit</t>
        </is>
      </c>
      <c r="B19" t="inlineStr">
        <is>
          <t>2150-000 Accrued Freight</t>
        </is>
      </c>
    </row>
    <row r="20">
      <c r="A20" t="inlineStr">
        <is>
          <t>Reversal</t>
        </is>
      </c>
      <c r="B20" t="inlineStr">
        <is>
          <t>Auto-reverses on day 1 of the next period (NOV-26)</t>
        </is>
      </c>
    </row>
    <row r="22">
      <c r="A22" s="2" t="inlineStr">
        <is>
          <t>Field</t>
        </is>
      </c>
      <c r="B22" s="2" t="inlineStr">
        <is>
          <t>Definition</t>
        </is>
      </c>
    </row>
    <row r="23">
      <c r="A23" t="inlineStr">
        <is>
          <t>Load #</t>
        </is>
      </c>
      <c r="B23" t="inlineStr">
        <is>
          <t>TMS load number</t>
        </is>
      </c>
    </row>
    <row r="24">
      <c r="A24" t="inlineStr">
        <is>
          <t>Broker</t>
        </is>
      </c>
      <c r="B24" t="inlineStr">
        <is>
          <t>Broker on the rate confirmation</t>
        </is>
      </c>
    </row>
    <row r="25">
      <c r="A25" t="inlineStr">
        <is>
          <t>Origin, Destination</t>
        </is>
      </c>
      <c r="B25" t="inlineStr">
        <is>
          <t>First pickup city and final delivery city</t>
        </is>
      </c>
    </row>
    <row r="26">
      <c r="A26" t="inlineStr">
        <is>
          <t>Equipment</t>
        </is>
      </c>
      <c r="B26" t="inlineStr">
        <is>
          <t>Trailer type tendered; power only moves a Lakeshore trailer</t>
        </is>
      </c>
    </row>
    <row r="27">
      <c r="A27" t="inlineStr">
        <is>
          <t>Pickup date, Delivery date</t>
        </is>
      </c>
      <c r="B27" t="inlineStr">
        <is>
          <t>Actual dates from broker tracking and the POD</t>
        </is>
      </c>
    </row>
    <row r="28">
      <c r="A28" t="inlineStr">
        <is>
          <t>Miles</t>
        </is>
      </c>
      <c r="B28" t="inlineStr">
        <is>
          <t>TMS practical miles, origin to destination</t>
        </is>
      </c>
    </row>
    <row r="29">
      <c r="A29" t="inlineStr">
        <is>
          <t>Linehaul, Fuel surcharge</t>
        </is>
      </c>
      <c r="B29" t="inlineStr">
        <is>
          <t>Per the rate confirmation</t>
        </is>
      </c>
    </row>
    <row r="30">
      <c r="A30" t="inlineStr">
        <is>
          <t>Accessorials</t>
        </is>
      </c>
      <c r="B30" t="inlineStr">
        <is>
          <t>Approved accessorial charges: detention, lumper, stop-off, driver assist</t>
        </is>
      </c>
    </row>
    <row r="31">
      <c r="A31" t="inlineStr">
        <is>
          <t>Total cost</t>
        </is>
      </c>
      <c r="B31" t="inlineStr">
        <is>
          <t>Linehaul plus fuel surcharge plus accessorials</t>
        </is>
      </c>
    </row>
    <row r="32">
      <c r="A32" t="inlineStr">
        <is>
          <t>Days since delivery</t>
        </is>
      </c>
      <c r="B32" t="inlineStr">
        <is>
          <t>As-of date less delivery date</t>
        </is>
      </c>
    </row>
    <row r="33">
      <c r="A33" t="inlineStr">
        <is>
          <t>Aging bucket</t>
        </is>
      </c>
      <c r="B33" t="inlineStr">
        <is>
          <t>0-7, 8-14, 15-30 or over 30 days since delivery</t>
        </is>
      </c>
    </row>
    <row r="34">
      <c r="A34" t="inlineStr">
        <is>
          <t>Freight bill status</t>
        </is>
      </c>
      <c r="B34" t="inlineStr">
        <is>
          <t>Freight pay status of the broker invoice at run time</t>
        </is>
      </c>
    </row>
    <row r="35">
      <c r="A35" t="inlineStr">
        <is>
          <t>Freight pay note</t>
        </is>
      </c>
      <c r="B35" t="inlineStr">
        <is>
          <t>Audit note on a held broker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Lakeshore Freight Logistics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TMS Unbilled Broker Loads</dc:title>
  <dc:creator>Martin Keane</dc:creator>
  <cp:lastModifiedBy>Martin Keane</cp:lastModifiedBy>
  <dcterms:created xsi:type="dcterms:W3CDTF">2026-10-30T18:52:41Z</dcterms:created>
  <dcterms:modified xsi:type="dcterms:W3CDTF">2026-11-02T14:10:00Z</dcterms:modified>
</cp:coreProperties>
</file>